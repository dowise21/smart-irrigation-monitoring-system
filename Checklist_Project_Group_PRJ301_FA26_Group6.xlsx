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tudy\FALL2026\PRJ301\Projects\PRJ301_Smart_Irrigation_Project\"/>
    </mc:Choice>
  </mc:AlternateContent>
  <xr:revisionPtr revIDLastSave="0" documentId="13_ncr:1_{2803364C-ECDD-47DE-B0C3-7BEFFDDC1A2B}" xr6:coauthVersionLast="47" xr6:coauthVersionMax="47" xr10:uidLastSave="{00000000-0000-0000-0000-000000000000}"/>
  <bookViews>
    <workbookView xWindow="28680" yWindow="765" windowWidth="29040" windowHeight="15720" activeTab="2" xr2:uid="{00000000-000D-0000-FFFF-FFFF00000000}"/>
  </bookViews>
  <sheets>
    <sheet name="Checklist" sheetId="1" r:id="rId1"/>
    <sheet name="KeHoachTuan" sheetId="2" r:id="rId2"/>
    <sheet name="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2" i="3" l="1"/>
  <c r="G47" i="1"/>
</calcChain>
</file>

<file path=xl/sharedStrings.xml><?xml version="1.0" encoding="utf-8"?>
<sst xmlns="http://schemas.openxmlformats.org/spreadsheetml/2006/main" count="508" uniqueCount="344">
  <si>
    <t>KẾ HOẠCH CHI TIẾT DỰ ÁN SMART IRRIGATION TỪ TUẦN 4 ĐẾN TUẦN 7 (HẠN CHẤM: 26/10/2026)</t>
  </si>
  <si>
    <t>Nguyên tắc vàng: Hoàn thành dứt điểm theo mốc tuần. Bốn ngày cuối (22/10 - 25/10) đóng băng mã nguồn (Code Freeze) để tập demo &amp; phản biện.</t>
  </si>
  <si>
    <t>Mốc</t>
  </si>
  <si>
    <t>Hạn chót</t>
  </si>
  <si>
    <t>Việc phải xong</t>
  </si>
  <si>
    <t>Kiểm thế nào là xong</t>
  </si>
  <si>
    <t>Hai người chia nhau ra sao</t>
  </si>
  <si>
    <t>Next</t>
  </si>
  <si>
    <t>Mốc 1</t>
  </si>
  <si>
    <t>Tuần 4</t>
  </si>
  <si>
    <t>Cơ sở dữ liệu và khung dự án chạy được. Thiết kế lược đồ 17 bảng, nạp dữ liệu mẫu ban đầu, dựng khung MVC2 chuẩn với Servlet, DAO, Model và kết nối qua lớp util.DBContext.</t>
  </si>
  <si>
    <t>Xóa sạch cơ sở dữ liệu rồi chạy lại script SQL, sau đó khởi động Tomcat và trang danh sách hiển thị số liệu thực từ database.</t>
  </si>
  <si>
    <t>Thành viên 1: Dựng lược đồ CSDL và bộ dữ liệu mẫu ban đầu.
Thành viên 2: Dựng khung dự án NetBeans, cấu hình Tomcat và lớp DBContext.
Sau đó hai thành viên ghép nối và kiểm thử kết nối.</t>
  </si>
  <si>
    <t>Đã hoàn thành. CSDL và khung kết nối làm nền tảng cho mọi module sau.</t>
  </si>
  <si>
    <t>Mốc 2</t>
  </si>
  <si>
    <t>Đăng nhập, đăng xuất và phân quyền người dùng (RBAC). Mã hóa mật khẩu bằng PBKDF2WithHmacSHA256, cài đặt AuthFilter chặn truy cập trái phép, phân quyền 5 vai trò (Admin, Manager, Tech, Staff, Viewer).</t>
  </si>
  <si>
    <t>Đăng xuất rồi gõ thẳng URL quản trị vào thanh địa chỉ, hệ thống lập tức chặn và chuyển hướng về /login. Nhập sai mật khẩu có thông báo rõ ràng.</t>
  </si>
  <si>
    <t>Thành viên 1: Lập trình LoginServlet, LogoutServlet và tiện ích băm mật khẩu PasswordUtil.
Thành viên 2: Xây dựng AuthFilter, thiết kế menu phân quyền trên navbar và xử lý session.</t>
  </si>
  <si>
    <t>Đã hoàn thành. Hệ thống bảo mật vững chắc, bảo vệ toàn bộ URL.</t>
  </si>
  <si>
    <t>Mốc 3</t>
  </si>
  <si>
    <t>Thứ 4 07/10, Tuần 5</t>
  </si>
  <si>
    <t>Đủ 4 chức năng CRUD cho 2 bảng chính (Plant &amp; Pot), kèm tìm kiếm keyword, lọc và phân trang. Kiểm tra dữ liệu hợp lệ ở cả client (HTML5) và server (Servlet try-catch).</t>
  </si>
  <si>
    <t>Thực hiện trọn một chu trình Thêm -&gt; Xem -&gt; Sửa -&gt; Xóa trên giao diện, dữ liệu cập nhật chính xác trong SQL Server. Thử tắt JS trình duyệt, server vẫn chặn dữ liệu lỗi.</t>
  </si>
  <si>
    <t>Thành viên 1: Nhận module Quản lý Chậu &amp; Khu vực tưới (PotController, PotDAO, pot-form.jsp, pot-list.jsp).
Thành viên 2: Nhận module Quản lý Cây trồng (PlantController, PlantDAO, plant-form.jsp, plant-list.jsp).</t>
  </si>
  <si>
    <t>Đã hoàn thành. Hai bảng thực thể cốt lõi hoạt động hoàn chỉnh.</t>
  </si>
  <si>
    <t>Mốc 4</t>
  </si>
  <si>
    <t>Thứ 7 10/10, hết Tuần 5</t>
  </si>
  <si>
    <t>Module IoT &amp; Telemetry. Lưu trữ bản ghi cảm biến SensorReading, xây dựng endpoint tiếp nhận POST /sensor-data, màn hình lọc theo chậu và ngày, biểu đồ độ ẩm Canvas/Chart.js, động cơ luật cảnh báo (AlertService) và dự đoán ML (MLService).</t>
  </si>
  <si>
    <t>Nạp một chuỗi số đo vào hệ thống qua API, biểu đồ tự động cập nhật số liệu mới; cố tình gửi dữ liệu vượt ngưỡng nguy hiểm, cảnh báo lập tức sinh ra trong bảng Alert.</t>
  </si>
  <si>
    <t>Thành viên 1: Xây dựng endpoint SensorController, bộ luật phát hiện sự cố AlertService và giải thuật MLService.
Thành viên 2: Thiết kế giao diện Dashboard với 4 thẻ KPI nước, biểu đồ Chart.js và màn hình nhật ký tưới.</t>
  </si>
  <si>
    <t>Đã hoàn thành. Cả Phần A (dữ liệu công khai) và Phần B (mô phỏng phần cứng) đều hoạt động trơn tru.</t>
  </si>
  <si>
    <t>Mốc 5</t>
  </si>
  <si>
    <t>Chủ nhật 18/10, hết Tuần 6</t>
  </si>
  <si>
    <t>Hoàn thiện, Chuẩn hóa Quốc tế hóa &amp; Kiểm thử đa môi trường (Week 6 Sprint).
1. Rà soát 100% nhãn/nút giao diện và comment mã nguồn sang tiếng Anh chuẩn xác.
2. Tách bộ CSDL thành 3 tệp SQL riêng biệt (01_schema, 02_sample_data, 03_verify_queries).
3. Dọn sạch toàn bộ lệnh debug System.out và các tệp build tạm thời.
4. Sao chép và chạy thử dự án trên một máy tính trắng khác cài môi trường môn học.
5. Xây dựng tài liệu bộ 33 Test Cases và dự thảo kịch bản demo 5-7 phút.</t>
  </si>
  <si>
    <t>Mang dự án sang máy tính khác của bạn cùng lớp, mở lên chạy được ngay không cần sửa code. Nạp 3 tệp SQL trên CSDL trắng không lỗi. Giao diện 100% tiếng Anh không còn sót chữ tiếng Việt nào.</t>
  </si>
  <si>
    <t>Thành viên 1 (Backend/DB): Phụ trách tách 3 tệp SQL, chuẩn hóa comment/code tiếng Anh, chạy thử trên máy trắng, lập bảng 33 Test Cases.
Thành viên 2 (Frontend/Docs): Hoàn tất i18n giao diện JSP, viết kịch bản demo 5-7 phút chi tiết từng bước, hoàn thiện tệp tài liệu và HTML Project Guide.
Đổi vai kiểm chéo vào cuối tuần.</t>
  </si>
  <si>
    <t>Mốc then chốt Tuần 6! Hoàn thành xong để bước vào Tuần 7 chạy test case và diễn tập thực chiến.</t>
  </si>
  <si>
    <t>Mốc 6</t>
  </si>
  <si>
    <t>Thứ 4 21/10, giữa Tuần 7</t>
  </si>
  <si>
    <t>Kiểm thử toàn diện, Nghiệm thu chức năng &amp; Đóng gói sản phẩm (Week 7 Sprint Part 1).
1. Chạy thực tế toàn bộ 33 Test Cases trên ứng dụng và ghi nhận kết quả thật (Pass/Fail).
2. Chuẩn bị 2 kịch bản vận hành: Phần A (web chạy trên dataset công khai) và Phần B (kết nối telemetry thiết bị thật ESP32/NodeMCU).
3. Chụp ảnh màn hình mọi chức năng và quay video ngắn chứng minh thiết bị thật hoạt động.
4. Đóng gói tệp ZIP nộp bài hoàn chỉnh gồm đủ 4 phần: Mã nguồn (.war/src), 3 tệp SQL, Thư mục tài liệu, Ảnh/Video demo.</t>
  </si>
  <si>
    <t>100% Test Cases đều có kết quả ĐẠT (Pass). Tệp nén ZIP nộp bài đầy đủ 4 thành phần theo đúng quy định môn học. Giải nén trên máy bất kỳ nạp lại là chạy được.</t>
  </si>
  <si>
    <t>Thành viên 1: Chạy và kiểm tra test cases cho Database, Phân quyền RBAC, CRUD, IoT API và kiểm tra tệp đóng gói.
Thành viên 2: Chạy test cases cho Giao diện, Biểu đồ, Bộ lọc, Xuất CSV, kiểm tra tài liệu và ảnh/video demo.</t>
  </si>
  <si>
    <t>Sau mốc này, tuyệt đối KHÔNG viết thêm tính năng mới, bắt đầu 4 ngày vàng tập demo.</t>
  </si>
  <si>
    <t>Mốc 7</t>
  </si>
  <si>
    <t>Chủ nhật 25/10, cuối Tuần 7</t>
  </si>
  <si>
    <t>Diễn tập Demo Thực chiến &amp; Vấn đáp Chéo 2 Thành viên (Week 7 Sprint Part 2).
1. Tập dượt kịch bản demo 5-7 phút chuẩn thời gian (bấm giờ thực tế) tối thiểu 2 lượt trọn vẹn.
2. Luyện tập thuần thục thao tác chuyển đổi qua lại giữa 5 tài khoản demo (admin1, manager, tech, staff, viewer).
3. Tổ chức hỏi đáp chéo: Thành viên 1 chất vấn Thành viên 2 về phần Backend/DAO/SQL; Thành viên 2 chất vấn Thành viên 1 về Filter/JSP/Giao diện để đảm bảo cả hai nắm vững 100% mã nguồn.
4. Rà soát danh sách câu hỏi hội đồng thường gặp và chuẩn bị sẵn câu trả lời.</t>
  </si>
  <si>
    <t>Demo mượt mà, đúng trọng tâm trong khung 5-7 phút mà không bị vấp hay lỗi bất ngờ. Cả hai thành viên tự tin trả lời lưu loát mọi câu hỏi về bất kỳ dòng code nào trong dự án.</t>
  </si>
  <si>
    <t>Lượt 1: Thành viên 1 demo chính, Thành viên 2 đóng vai giảng viên phản biện.
Lượt 2: Đổi vai, Thành viên 2 demo chính, Thành viên 1 đóng vai giảng viên phản biện.
Sau đó cả hai cùng rà soát lần cuối trước giờ lên sàn bảo vệ.</t>
  </si>
  <si>
    <t>SẴN SÀNG 100% CHO BUỔI CHẤM BẢO VỆ FINAL PROJECT NGÀY THỨ HAI 26/10/2026!</t>
  </si>
  <si>
    <t>★ LƯU Ý CHIẾN LƯỢC: BỐN NGÀY VÀNG (22/10 - 25/10/2026) KHÓA MÃ NGUỒN (CODE FREEZE) - CHỈ DÀNH RIÊNG CHO DIỄN TẬP VÀ ÔN VẤN ĐÁP</t>
  </si>
  <si>
    <t>LỘ TRÌNH SAU BẢO VỆ DỰ ÁN (TUẦN 8 - 10):
• Tuần 8 (26/10): Chấm bảo vệ Final Project chính thức, làm bài Progress Test 1 (PT1) và bắt đầu luyện giải đề thi thực hành PE.
• Tuần 9: Thực hành cường độ cao các dạng bài PE (CRUD, Filter phân quyền, PreparedStatement, Session) và thi thử PE.
• Tuần 10: Làm bài Progress Test 2 (PT2) và ôn tập hệ thống lý thuyết chuẩn bị thi kết thúc môn Final Exam (FE).</t>
  </si>
  <si>
    <t>CHECKLIST PROJECT NHÓM PRJ301 FALL 2026</t>
  </si>
  <si>
    <t>Hệ thống Smart Irrigation Monitoring System · Cập nhật tiến độ dự án đến Tuần 6 &amp; 7 (Hạn chót bảo vệ: 26/10/2026)</t>
  </si>
  <si>
    <t>STT</t>
  </si>
  <si>
    <t>Giai đoạn</t>
  </si>
  <si>
    <t>Hạng mục công việc</t>
  </si>
  <si>
    <t>Làm xong nghĩa là gì</t>
  </si>
  <si>
    <t>Mức yêu cầu</t>
  </si>
  <si>
    <t>Minh chứng</t>
  </si>
  <si>
    <t>Trạng thái</t>
  </si>
  <si>
    <t>Ghi chú</t>
  </si>
  <si>
    <t>A. Cơ sở dữ liệu</t>
  </si>
  <si>
    <t>A</t>
  </si>
  <si>
    <t>Vẽ lược đồ, liệt kê bảng, khoá chính và khoá ngoại</t>
  </si>
  <si>
    <t>Hình lược đồ đọc được tên mọi bảng và mọi khoá ngoại</t>
  </si>
  <si>
    <t>Hình lược đồ trong tài liệu &amp; README</t>
  </si>
  <si>
    <t>Xong</t>
  </si>
  <si>
    <t>Đã vẽ và mô tả 17 bảng trong tài liệu; ERD chuẩn hóa 5 nhóm thực thể rõ ràng.</t>
  </si>
  <si>
    <t>Thứ tự tạo bảng đi từ trên xuống, không có tham chiếu vòng</t>
  </si>
  <si>
    <t>Mọi khoá ngoại trỏ về bảng đã tạo trước đó trong cùng tệp</t>
  </si>
  <si>
    <t>Tệp tạo lược đồ 01_schema</t>
  </si>
  <si>
    <t>Thứ tự DROP và CREATE chuẩn xác từ lá tới gốc, không có chu trình tham chiếu.</t>
  </si>
  <si>
    <t>Tách tệp SQL thành ba phần riêng</t>
  </si>
  <si>
    <t>Một tệp tạo lược đồ, một tệp dữ liệu mẫu, một tệp câu lệnh kiểm tra</t>
  </si>
  <si>
    <t>Thư mục sql/ (3 tệp tách biệt)</t>
  </si>
  <si>
    <t>Đã tách thành 3 tệp SQL: 01_schema_17tables, 02_sample_data, 03_verify_queries.</t>
  </si>
  <si>
    <t>Dữ liệu mẫu đủ để mở ra màn hình nào cũng có số</t>
  </si>
  <si>
    <t>Không còn bảng nào rỗng khi chấm, mỗi màn hình có ít nhất vài dòng</t>
  </si>
  <si>
    <t>Tệp dữ liệu mẫu 02_sample_data</t>
  </si>
  <si>
    <t>Đã chèn dữ liệu mẫu cho cả 17 bảng, mở bất kỳ màn hình nào cũng có số liệu.</t>
  </si>
  <si>
    <t>Tài khoản mẫu cho từng vai trò, mật khẩu ghi trong tài liệu</t>
  </si>
  <si>
    <t>Mỗi vai trò ít nhất một tài khoản, đăng nhập thử được hết</t>
  </si>
  <si>
    <t>Tài liệu hướng dẫn &amp; README</t>
  </si>
  <si>
    <t>Nạp lại cơ sở dữ liệu từ đầu trên máy trắng vẫn chạy</t>
  </si>
  <si>
    <t>Xoá sạch rồi chạy lại ba tệp SQL theo thứ tự, ứng dụng vẫn lên</t>
  </si>
  <si>
    <t>Ảnh chụp lần nạp lại &amp; tệp 03_verify</t>
  </si>
  <si>
    <t>Đã kiểm thử nạp lại 3 tệp SQL trên CSDL trắng SmartIrrigationDB thành công 100%.</t>
  </si>
  <si>
    <t>B. Khung MVC2</t>
  </si>
  <si>
    <t>B</t>
  </si>
  <si>
    <t>Mã nguồn chia đúng Model View Controller</t>
  </si>
  <si>
    <t>Servlet nằm trong gói controller, trang JSP nằm dưới WEB-INF, không gọi thẳng JSP từ thanh địa chỉ</t>
  </si>
  <si>
    <t>Cây thư mục &amp; web.xml/annotations</t>
  </si>
  <si>
    <t>Gói controller chứa 12 Servlets, views nằm dưới WEB-INF/views/, chặn gọi trực tiếp JSP.</t>
  </si>
  <si>
    <t>Chỉ một lớp DBUtil lo việc mở kết nối</t>
  </si>
  <si>
    <t>Không mở kết nối rải rác trong từng servlet hay từng trang JSP</t>
  </si>
  <si>
    <t>Lớp util.DBContext.java</t>
  </si>
  <si>
    <t>Lớp util.DBContext tập trung mở DriverManager.getConnection(), không mở rải rác.</t>
  </si>
  <si>
    <t>Mỗi servlet khai báo đường dẫn rõ ràng</t>
  </si>
  <si>
    <t>Đường dẫn đặt bằng chú thích WebServlet hoặc khai báo trong web.xml</t>
  </si>
  <si>
    <t>Gói controller (12 class Servlet)</t>
  </si>
  <si>
    <t>12 Servlets đều khai báo @WebServlet với urlPatterns rõ ràng, không trùng lặp.</t>
  </si>
  <si>
    <t>Dùng PreparedStatement, không nối chuỗi dữ liệu người dùng vào câu SQL</t>
  </si>
  <si>
    <t>Mọi giá trị người dùng nhập đều đi qua dấu hỏi tham số</t>
  </si>
  <si>
    <t>Các lớp DAO (9 lớp DAO chuẩn)</t>
  </si>
  <si>
    <t>100% câu truy vấn trong các DAO đều dùng PreparedStatement với dấu hỏi tham số ?.</t>
  </si>
  <si>
    <t>Kiểm tra đăng nhập đặt ở bộ lọc trước servlet</t>
  </si>
  <si>
    <t>Gõ thẳng đường dẫn vào thanh địa chỉ vẫn bị chặn, không chỉ ẩn nút</t>
  </si>
  <si>
    <t>Lớp filter/AuthFilter.java</t>
  </si>
  <si>
    <t>AuthFilter bắt url /*, kiểm tra session.getAttribute("LOGIN_USER"), chặn gõ URL trực tiếp.</t>
  </si>
  <si>
    <t>Trang JSP không chứa câu lệnh truy vấn cơ sở dữ liệu</t>
  </si>
  <si>
    <t>Trang chỉ nhận dữ liệu đã chuẩn bị sẵn từ servlet</t>
  </si>
  <si>
    <t>Thư mục web/WEB-INF/views/</t>
  </si>
  <si>
    <t>Tất cả 13 tệp JSP chỉ hiển thị dữ liệu qua JSTL/EL, không chứa bất kỳ câu SQL nào.</t>
  </si>
  <si>
    <t>C. Chức năng</t>
  </si>
  <si>
    <t>C</t>
  </si>
  <si>
    <t>Đăng nhập và đăng xuất chạy đúng</t>
  </si>
  <si>
    <t>Sai mật khẩu báo lỗi rõ, đăng xuất xong quay lại trang cũ thì bị chặn</t>
  </si>
  <si>
    <t>Màn hình đăng nhập &amp; navbar</t>
  </si>
  <si>
    <t>LoginServlet &amp; LogoutServlet hoạt động chuẩn, sai pass báo ERROR_MSG, logout xong hủy session.</t>
  </si>
  <si>
    <t>Mật khẩu không lưu dạng chữ đọc được</t>
  </si>
  <si>
    <t>Trong bảng chỉ thấy chuỗi đã băm, không thấy mật khẩu thật</t>
  </si>
  <si>
    <t>Bảng AppUser (cột password_hash)</t>
  </si>
  <si>
    <t>PasswordUtil băm mật khẩu bằng PBKDF2WithHmacSHA256 (20000 vòng), DB lưu chuỗi băm chuẩn.</t>
  </si>
  <si>
    <t>Phân quyền ít nhất hai vai trò</t>
  </si>
  <si>
    <t>Hai vai trò đăng nhập vào thấy hai bộ chức năng khác nhau</t>
  </si>
  <si>
    <t>Giao diện navbar &amp; AuthFilter</t>
  </si>
  <si>
    <t>Hệ thống cài đặt RBAC 5 vai trò (Admin, Manager, Tech, Staff, Viewer) với menu và filter tương ứng.</t>
  </si>
  <si>
    <t>Đủ bốn việc thêm, xem, sửa, xoá cho bảng chính</t>
  </si>
  <si>
    <t>Làm thử trọn một vòng trên màn hình, dữ liệu đổi theo trong cơ sở dữ liệu</t>
  </si>
  <si>
    <t>Màn hình /plants và /pots</t>
  </si>
  <si>
    <t>Thực hiện trọn vẹn vòng CRUD cho Plant (Cây trồng) và Pot (Chậu/Khu vực), kèm đổi trạng thái.</t>
  </si>
  <si>
    <t>Tìm kiếm, lọc, sắp xếp và phân trang trên danh sách dài</t>
  </si>
  <si>
    <t>Danh sách trên 50 dòng vẫn mở nhanh và chia được trang</t>
  </si>
  <si>
    <t>Màn hình danh sách &amp; paging</t>
  </si>
  <si>
    <t>Danh sách cây có tìm kiếm keyword và phân trang; nhật ký tưới và cảm biến có lọc theo thời gian và chậu.</t>
  </si>
  <si>
    <t>Kiểm tra dữ liệu nhập ở cả trình duyệt và máy chủ</t>
  </si>
  <si>
    <t>Tắt kiểm tra phía trình duyệt rồi gửi dữ liệu sai, máy chủ vẫn chặn</t>
  </si>
  <si>
    <t>Servlet xử lý &amp; biểu mẫu JSP</t>
  </si>
  <si>
    <t>Kiểm tra dữ liệu 2 lớp: Client (HTML5 required, min, max, step) và Server (Controller parse try-catch).</t>
  </si>
  <si>
    <t>Thông báo lỗi và thông báo thành công hiện rõ trên màn hình</t>
  </si>
  <si>
    <t>Người dùng biết việc vừa làm thành công hay hỏng mà không phải đoán</t>
  </si>
  <si>
    <t>Các màn hình biểu mẫu &amp; alerts</t>
  </si>
  <si>
    <t>Các JSP đều có khối thông báo alert/toast cho SUCCESS_MSG và ERROR_MSG hiển thị rõ ràng.</t>
  </si>
  <si>
    <t>Không để vết lỗi của máy chủ hiện ra cho người dùng</t>
  </si>
  <si>
    <t>Lỗi bắt lại và hiện câu tiếng Anh dễ hiểu, vết lỗi chỉ ghi vào nhật ký</t>
  </si>
  <si>
    <t>Trang báo lỗi &amp; Logger DAO</t>
  </si>
  <si>
    <t>Ngoại lệ máy chủ được bắt trong try-catch, ghi log Logger/SystemLog, hiển thị thông báo lỗi thân thiện.</t>
  </si>
  <si>
    <t>D. Phần dữ liệu IoT</t>
  </si>
  <si>
    <t>D</t>
  </si>
  <si>
    <t>Bảng lưu số đo của thiết bị kèm mốc thời gian</t>
  </si>
  <si>
    <t>Mỗi dòng có mã thiết bị, thời điểm đo và giá trị đo</t>
  </si>
  <si>
    <t>Lược đồ CSDL 17 bảng</t>
  </si>
  <si>
    <t>Bảng SensorReading có pot_id, sensor_id, moisture_level, light_lux, weight_kg, recorded_at.</t>
  </si>
  <si>
    <t>Có đường nạp dữ liệu vào hệ thống</t>
  </si>
  <si>
    <t>Servlet nhận gói tin, hoặc công cụ nạp tệp dữ liệu công khai vào bảng</t>
  </si>
  <si>
    <t>Servlet SensorController</t>
  </si>
  <si>
    <t>Có endpoint POST /sensor-data tiếp nhận gói tin telemetry và công cụ sinh dữ liệu ảo SampleDataGenerator.</t>
  </si>
  <si>
    <t>Màn hình xem số đo theo thiết bị và theo khoảng thời gian</t>
  </si>
  <si>
    <t>Chọn thiết bị và chọn khoảng ngày thì bảng số đổi theo</t>
  </si>
  <si>
    <t>Màn hình số liệu &amp; nhật ký</t>
  </si>
  <si>
    <t>Màn hình /sensor-data và /history cho phép lọc theo pot_id và khoảng thời gian linh hoạt.</t>
  </si>
  <si>
    <t>Biểu đồ vẽ ngay trong trang, không gọi thư viện ngoài mạng</t>
  </si>
  <si>
    <t>Vẽ bằng thẻ SVG hoặc thẻ canvas dựng trong trang, rút mạng vẫn hiện</t>
  </si>
  <si>
    <t>Màn hình dashboard &amp; telemetry</t>
  </si>
  <si>
    <t>Biểu đồ vẽ trực tiếp trong trang qua Canvas / Chart.js và các thẻ thanh đo tiến trình, mất mạng vẫn hiện.</t>
  </si>
  <si>
    <t>Ngưỡng cảnh báo và màn hình danh sách cảnh báo</t>
  </si>
  <si>
    <t>Số đo vượt ngưỡng sinh ra một dòng cảnh báo xem được trên màn hình</t>
  </si>
  <si>
    <t>Màn hình /alerts &amp; AlertService</t>
  </si>
  <si>
    <t>AlertService định nghĩa 4 ngưỡng luật (OVERWATER, SENSOR_FAULT, DRY_STRESS, LEAK), màn hình /alerts quản lý sự cố.</t>
  </si>
  <si>
    <t>Dữ liệu công khai tải về có ghi rõ nguồn và ngày tải</t>
  </si>
  <si>
    <t>Một dòng ghi nguồn và ngày tải trong tài liệu nộp kèm</t>
  </si>
  <si>
    <t>Tài liệu nộp kèm &amp; README</t>
  </si>
  <si>
    <t>Dataset độ ẩm đất và chu kỳ tưới công khai được ghi rõ nguồn và ngày tải trong tài liệu.</t>
  </si>
  <si>
    <t>Thu dữ liệu từ thiết bị thật</t>
  </si>
  <si>
    <t>Phần B, nhóm nào làm được thì quay lại một đoạn chạy thử</t>
  </si>
  <si>
    <t>Video chạy thiết bị &amp; mô phỏng API</t>
  </si>
  <si>
    <t>Hỗ trợ nạp gói tin telemetry mô phỏng chuẩn giao thức HTTP POST của ESP32/NodeMCU và tưới thủ công.</t>
  </si>
  <si>
    <t>E. Giao diện và ngôn ngữ</t>
  </si>
  <si>
    <t>E</t>
  </si>
  <si>
    <t>Toàn bộ chữ trên giao diện viết bằng tiếng Anh</t>
  </si>
  <si>
    <t>Không còn chữ tiếng Việt nào trên nhãn, nút, tiêu đề cột hay thông báo</t>
  </si>
  <si>
    <t>Mọi màn hình (Views JSP)</t>
  </si>
  <si>
    <t>Đang thực hiện (Tuần 6)</t>
  </si>
  <si>
    <t>Đã chuyển đổi 95% nhãn/nút sang tiếng Anh qua refactor_jsp_i18n.py, đang rà soát nốt các title còn lại ở Tuần 6.</t>
  </si>
  <si>
    <t>Tên biến, tham số, nhãn và comment trong mã nguồn bằng tiếng Anh</t>
  </si>
  <si>
    <t>Đọc lướt một lượt toàn bộ mã nguồn, không còn chữ tiếng Việt</t>
  </si>
  <si>
    <t>Toàn bộ mã nguồn Java &amp; JSP</t>
  </si>
  <si>
    <t>Tên class, hàm, biến và tham số 100% tiếng Anh; đang rà soát dọn dẹp các comment tiếng Việt trong source code.</t>
  </si>
  <si>
    <t>Giao diện dùng được trên màn hình máy tính và màn hình điện thoại</t>
  </si>
  <si>
    <t>Thu hẹp cửa sổ trình duyệt, bảng không bị tràn ngang</t>
  </si>
  <si>
    <t>Mọi màn hình (Kiểm tra mobile)</t>
  </si>
  <si>
    <t>Giao diện Bootstrap 5 đáp ứng hoàn hảo (Responsive) trên PC, Tablet và Mobile, bảng có table-responsive.</t>
  </si>
  <si>
    <t>Các màn hình dùng chung một bộ màu, một cỡ chữ, một kiểu nút</t>
  </si>
  <si>
    <t>Mở lần lượt mọi màn hình, không màn nào lạc kiểu</t>
  </si>
  <si>
    <t>Tệp định kiểu web/css/ &amp; WEB-INF/css/</t>
  </si>
  <si>
    <t>Toàn bộ các trang dùng chung bộ màu Eco-Tech SaaS qua app.css và main-style.css, thiết kế card và nút đồng bộ.</t>
  </si>
  <si>
    <t>F. Kiểm thử và nộp</t>
  </si>
  <si>
    <t>F</t>
  </si>
  <si>
    <t>Chạy lại toàn bộ trên một máy khác cài đúng bộ phần mềm của môn</t>
  </si>
  <si>
    <t>Mở dự án trên máy đó, chạy được ngay mà không phải sửa gì</t>
  </si>
  <si>
    <t>Ảnh chụp lần chạy thử máy trắng</t>
  </si>
  <si>
    <t>Kế hoạch Tuần 6</t>
  </si>
  <si>
    <t>Thử nghiệm sao chép dự án sang máy trắng cài NetBeans/Tomcat 9/SQL Server để kiểm tra chạy ngay (15/10 - 18/10).</t>
  </si>
  <si>
    <t>Đi hết một vòng mọi chức năng và ghi lại kết quả từng bước</t>
  </si>
  <si>
    <t>Bảng kiểm thử liệt kê bước làm, kết quả mong đợi và kết quả thật</t>
  </si>
  <si>
    <t>Bảng kiểm thử (33 test cases)</t>
  </si>
  <si>
    <t>Xây dựng bộ 33 Test Cases chi tiết (Database, Auth, CRUD, IoT, Alerts, Export) có cột kết quả mong đợi (16/10 - 18/10).</t>
  </si>
  <si>
    <t>Viết kịch bản demo theo từng bước</t>
  </si>
  <si>
    <t>Mỗi bước ghi rõ bấm vào đâu, nhập gì, màn hình hiện ra gì</t>
  </si>
  <si>
    <t>Tệp kịch bản demo 5-7 phút</t>
  </si>
  <si>
    <t>Kế hoạch Tuần 6 &amp; 7</t>
  </si>
  <si>
    <t>Soạn kịch bản demo 5-7 phút theo từng vai trò (Admin, Manager, Staff, Viewer), diễn tập trước hội đồng (18/10 - 25/10).</t>
  </si>
  <si>
    <t>Tài liệu nộp đủ ba phần</t>
  </si>
  <si>
    <t>Hướng dẫn cài đặt và chạy, mô tả chức năng theo từng vai trò, lược đồ cơ sở dữ liệu</t>
  </si>
  <si>
    <t>Thư mục tài liệu (HTML Guide &amp; Docs)</t>
  </si>
  <si>
    <t>Bộ tài liệu nộp hoàn chỉnh gồm 3 phần: Hướng dẫn cài đặt/vận hành, Đặc tả 5 vai trò, Lược đồ 17 bảng ERD.</t>
  </si>
  <si>
    <t>Cả hai thành viên nắm được toàn bộ mã nguồn</t>
  </si>
  <si>
    <t>Người này trả lời được câu hỏi về phần người kia viết</t>
  </si>
  <si>
    <t>Buổi chấm &amp; biên bản diễn tập</t>
  </si>
  <si>
    <t>Kế hoạch Tuần 7</t>
  </si>
  <si>
    <t>Hai thành viên tổ chức diễn tập vấn đáp chéo 2 lượt (22/10 - 25/10), giải thích toàn bộ kiến trúc và mã nguồn của nhau.</t>
  </si>
  <si>
    <t>Đóng gói nộp đủ bốn phần</t>
  </si>
  <si>
    <t>Mã nguồn, ba tệp SQL, tài liệu, và ảnh màn hình hoặc video demo</t>
  </si>
  <si>
    <t>Tệp nén nộp bài hoàn chỉnh</t>
  </si>
  <si>
    <t>Đóng gói tệp ZIP nộp bài chuẩn 4 phần: Mã nguồn, 3 tệp SQL, Tài liệu hướng dẫn, Ảnh chụp màn hình &amp; Video demo (Hạn 25/10).</t>
  </si>
  <si>
    <t>TỔNG KẾT: SỐ HẠNG MỤC ĐÃ XONG / TỔNG SỐ HẠNG MỤC</t>
  </si>
  <si>
    <t>Các hạng mục còn lại (E, F) đang hoàn thiện theo đúng tiến độ kế hoạch Tuần 6 và Tuần 7.</t>
  </si>
  <si>
    <t>NHỮNG ĐIỂM NÊN SOÁT LẠI TRƯỚC NGÀY CHẤM</t>
  </si>
  <si>
    <t>Bảng tự soát 50 tiêu chí kỹ thuật trước ngày chấm bảo vệ Final Project PRJ301 (26/10/2026)</t>
  </si>
  <si>
    <t>Mảng</t>
  </si>
  <si>
    <t>Điểm nên soát lại</t>
  </si>
  <si>
    <t>Cách tự soát</t>
  </si>
  <si>
    <t>Kết luận</t>
  </si>
  <si>
    <t>Cơ sở dữ liệu</t>
  </si>
  <si>
    <t>Ba tệp SQL tách riêng và chạy được lần lượt</t>
  </si>
  <si>
    <t>Xoá cơ sở dữ liệu rồi chạy tạo lược đồ, dữ liệu mẫu, câu kiểm tra theo đúng thứ tự</t>
  </si>
  <si>
    <t>Đạt</t>
  </si>
  <si>
    <t>Dữ liệu mẫu đủ cho mọi màn hình</t>
  </si>
  <si>
    <t>Mở lần lượt từng màn hình, màn nào cũng có vài dòng để xem</t>
  </si>
  <si>
    <t>Khoá ngoại khai báo đủ trong tệp tạo lược đồ</t>
  </si>
  <si>
    <t>Mở lược đồ trong SQL Server, đếm số khoá ngoại so với hình đã vẽ</t>
  </si>
  <si>
    <t>Cột ngày giờ lưu đúng kiểu ngày giờ</t>
  </si>
  <si>
    <t>Thử sắp xếp theo cột thời gian, thứ tự phải đúng chứ không theo chữ cái</t>
  </si>
  <si>
    <t>Tên bảng và tên cột đặt tiếng Anh theo một lối thống nhất</t>
  </si>
  <si>
    <t>Đọc một lượt danh sách bảng, tên nào lệch lối thì sửa cho đều</t>
  </si>
  <si>
    <t>Chuỗi kết nối để đúng một chỗ</t>
  </si>
  <si>
    <t>Đổi thử mật khẩu cơ sở dữ liệu, chỉ phải sửa trong lớp DBUtil là chạy lại được</t>
  </si>
  <si>
    <t>Khung MVC2</t>
  </si>
  <si>
    <t>Trang JSP chỉ nhận dữ liệu đã chuẩn bị sẵn</t>
  </si>
  <si>
    <t>Tìm trong thư mục views xem còn câu lệnh truy vấn nào sót lại không</t>
  </si>
  <si>
    <t>Chỉ lớp DBUtil mở kết nối</t>
  </si>
  <si>
    <t>Tìm trong dự án chữ DriverManager, chỉ nên còn đúng một chỗ</t>
  </si>
  <si>
    <t>Mỗi servlet một đường dẫn riêng, không trùng nhau</t>
  </si>
  <si>
    <t>Liệt kê các đường dẫn ra giấy rồi dò xem có hai servlet cùng một đường dẫn không</t>
  </si>
  <si>
    <t>Lớp DAO tách khỏi servlet</t>
  </si>
  <si>
    <t>Mở một servlet bất kỳ, trong đó không nên có câu lệnh SQL nào</t>
  </si>
  <si>
    <t>Đóng kết nối và các đối tượng sau khi dùng xong</t>
  </si>
  <si>
    <t>Bấm làm mới trang vài chục lần, ứng dụng vẫn chạy mượt là ổn</t>
  </si>
  <si>
    <t>Mọi giá trị người dùng nhập đều đi qua PreparedStatement</t>
  </si>
  <si>
    <t>Tìm trong các lớp DAO xem còn chỗ nào nối chuỗi vào câu SQL không</t>
  </si>
  <si>
    <t>Đăng nhập và phân quyền</t>
  </si>
  <si>
    <t>Mật khẩu lưu dạng đã băm</t>
  </si>
  <si>
    <t>Mở bảng tài khoản xem cột mật khẩu, chỉ nên thấy chuỗi băm</t>
  </si>
  <si>
    <t>Bộ lọc đặt trước servlet chứ không chỉ ẩn nút</t>
  </si>
  <si>
    <t>Đăng nhập bằng vai trò thấp rồi gõ thẳng đường dẫn màn hình quản trị</t>
  </si>
  <si>
    <t>Đăng xuất xong thì không quay lại được bằng nút lùi</t>
  </si>
  <si>
    <t>Đăng xuất rồi bấm nút lùi của trình duyệt, hệ thống nên đưa về trang đăng nhập</t>
  </si>
  <si>
    <t>Mỗi vai trò có tài khoản mẫu đăng nhập thử được</t>
  </si>
  <si>
    <t>Đăng nhập lần lượt bằng từng tài khoản ghi trong tài liệu</t>
  </si>
  <si>
    <t>Nhập sai mật khẩu có thông báo rõ ràng</t>
  </si>
  <si>
    <t>Gõ sai mật khẩu một lần, xem màn hình nói gì</t>
  </si>
  <si>
    <t>Phiên làm việc hết hạn thì quay về trang đăng nhập</t>
  </si>
  <si>
    <t>Để trang mở một lúc lâu rồi bấm tiếp, xem hệ thống xử lý ra sao</t>
  </si>
  <si>
    <t>Chức năng quản lý</t>
  </si>
  <si>
    <t>Làm trọn một vòng rồi mở bảng trong SQL Server xem dữ liệu đổi đúng chưa</t>
  </si>
  <si>
    <t>Sửa xong quay lại danh sách là thấy dữ liệu mới</t>
  </si>
  <si>
    <t>Sửa một dòng rồi quay ra danh sách, không cần bấm làm mới vẫn thấy</t>
  </si>
  <si>
    <t>Xoá có hỏi lại trước khi xoá thật</t>
  </si>
  <si>
    <t>Bấm xoá một dòng, màn hình nên hỏi lại một câu</t>
  </si>
  <si>
    <t>Danh sách dài có phân trang</t>
  </si>
  <si>
    <t>Nạp vài trăm dòng vào bảng chính rồi mở màn hình danh sách</t>
  </si>
  <si>
    <t>Tìm kiếm với ô để trống vẫn trả về danh sách đầy đủ</t>
  </si>
  <si>
    <t>Xoá hết chữ trong ô tìm rồi bấm tìm</t>
  </si>
  <si>
    <t>Kiểm tra dữ liệu nhập làm ở cả trình duyệt và máy chủ</t>
  </si>
  <si>
    <t>Tắt kiểm tra phía trình duyệt rồi gửi dữ liệu sai, máy chủ nên chặn lại</t>
  </si>
  <si>
    <t>Ký tự lạ trong ô tìm kiếm không làm gián đoạn trang</t>
  </si>
  <si>
    <t>Gõ dấu nháy đơn vào ô tìm kiếm rồi bấm tìm</t>
  </si>
  <si>
    <t>Nhập chữ vào ô số thì có thông báo nhẹ nhàng</t>
  </si>
  <si>
    <t>Gõ chữ vào ô nhập số rồi gửi biểu mẫu</t>
  </si>
  <si>
    <t>Dữ liệu tiếng Anh có dấu cách hoặc ký tự đặc biệt vẫn lưu đúng</t>
  </si>
  <si>
    <t>Thêm một dòng có dấu nháy kép trong tên rồi mở lại xem</t>
  </si>
  <si>
    <t>Dữ liệu IoT</t>
  </si>
  <si>
    <t>Bảng số đo có mã thiết bị và mốc thời gian</t>
  </si>
  <si>
    <t>Mở bảng xem một dòng bất kỳ, đủ ba thông tin là được</t>
  </si>
  <si>
    <t>Nạp một mẻ số đo thì màn hình và biểu đồ đổi theo</t>
  </si>
  <si>
    <t>Nạp thêm dữ liệu rồi làm mới màn hình số liệu</t>
  </si>
  <si>
    <t>Biểu đồ vẽ ngay trong trang</t>
  </si>
  <si>
    <t>Rút mạng rồi mở lại màn hình có biểu đồ</t>
  </si>
  <si>
    <t>Lọc theo khoảng ngày trả về đúng phần dữ liệu</t>
  </si>
  <si>
    <t>Chọn một khoảng hẹp rồi đếm số dòng, so với câu truy vấn chạy tay</t>
  </si>
  <si>
    <t>Ngưỡng cảnh báo sinh ra đúng số dòng cảnh báo</t>
  </si>
  <si>
    <t>Nạp một mẻ có vài giá trị vượt ngưỡng rồi đếm cảnh báo hiện ra</t>
  </si>
  <si>
    <t>Màn hình số liệu vẫn mở nhanh khi bảng nhiều dòng</t>
  </si>
  <si>
    <t>Nạp vài chục nghìn dòng rồi mở màn hình, nên lên trong vài giây</t>
  </si>
  <si>
    <t>Nguồn dữ liệu công khai và ngày tải ghi lại rõ ràng</t>
  </si>
  <si>
    <t>Mở tài liệu nộp kèm, tìm dòng ghi nguồn và ngày tải</t>
  </si>
  <si>
    <t>Giao diện</t>
  </si>
  <si>
    <t>Mọi chữ trên màn hình bằng tiếng Anh</t>
  </si>
  <si>
    <t>Mở lần lượt từng màn hình, đọc lại nhãn, nút và tiêu đề cột</t>
  </si>
  <si>
    <t>Đang rà soát (Tuần 6)</t>
  </si>
  <si>
    <t>Thu hẹp cửa sổ thì bảng không tràn ngang</t>
  </si>
  <si>
    <t>Kéo hẹp cửa sổ trình duyệt xuống cỡ màn hình điện thoại</t>
  </si>
  <si>
    <t>Thông báo thành công và thông báo lỗi đều hiện rõ</t>
  </si>
  <si>
    <t>Làm một việc đúng và một việc sai, xem màn hình nói gì sau mỗi lần</t>
  </si>
  <si>
    <t>Các màn hình dùng chung một bộ màu và một kiểu nút</t>
  </si>
  <si>
    <t>Mở lần lượt mọi màn hình, màn nào lạc kiểu thì chỉnh cho đều</t>
  </si>
  <si>
    <t>Nút bấm đủ to để bấm bằng ngón tay</t>
  </si>
  <si>
    <t>Mở trên điện thoại rồi thử bấm các nút chính</t>
  </si>
  <si>
    <t>Mã nguồn</t>
  </si>
  <si>
    <t>Tên biến, tham số, nhãn và comment bằng tiếng Anh</t>
  </si>
  <si>
    <t>Tìm trong toàn bộ dự án các chữ có dấu tiếng Việt</t>
  </si>
  <si>
    <t>Không còn dòng in thử ra màn hình</t>
  </si>
  <si>
    <t>Tìm chữ System.out trong dự án, dọn những dòng còn sót</t>
  </si>
  <si>
    <t>Dự án không còn tệp thừa</t>
  </si>
  <si>
    <t>Mở cây thư mục, xoá các tệp sao lưu và tệp thử nghiệm</t>
  </si>
  <si>
    <t>Vết lỗi ghi vào nhật ký, người dùng chỉ thấy câu tiếng Anh dễ hiểu</t>
  </si>
  <si>
    <t>Cố tình nhập sai kiểu dữ liệu rồi xem màn hình hiện ra gì</t>
  </si>
  <si>
    <t>Thư viện để dạng tệp jar trong web/WEB-INF/lib</t>
  </si>
  <si>
    <t>Mở thư mục lib xem đủ các tệp jar dự án đang dùng</t>
  </si>
  <si>
    <t>Chạy thử và nộp</t>
  </si>
  <si>
    <t>Mở dự án trên một máy khác cài đúng bộ phần mềm của môn và chạy được ngay</t>
  </si>
  <si>
    <t>Chép dự án sang máy bạn cùng lớp rồi mở lên chạy thử</t>
  </si>
  <si>
    <t>Nạp lại cơ sở dữ liệu từ đầu trên máy đó vẫn lên</t>
  </si>
  <si>
    <t>Chạy lại ba tệp SQL trên cơ sở dữ liệu trắng rồi bật ứng dụng</t>
  </si>
  <si>
    <t>Bảng kiểm thử ghi bước làm, kết quả mong đợi và kết quả thật</t>
  </si>
  <si>
    <t>Đi hết một vòng chức năng rồi điền vào bảng</t>
  </si>
  <si>
    <t>Kịch bản demo đã tập đủ hai lượt và vừa thời gian</t>
  </si>
  <si>
    <t>Bấm giờ một lượt demo thử từ đầu tới cuối</t>
  </si>
  <si>
    <t>Cả hai thành viên giải thích được phần người kia viết</t>
  </si>
  <si>
    <t>Hai người đổi phần cho nhau rồi giảng lại cho nhau nghe</t>
  </si>
  <si>
    <t>Tệp nộp đủ bốn phần</t>
  </si>
  <si>
    <t>Mở tệp nén ra xem có mã nguồn, ba tệp SQL, tài liệu và ảnh màn hình</t>
  </si>
  <si>
    <t>TỔNG KẾT SOÁT LỖI KỸ THUẬT:</t>
  </si>
  <si>
    <t>Đầy đủ 5 tài khoản mẫu cho 5 vai trò (admin, manager, tech, staff, viewer / pass: 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</si>
</sst>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1"/>
      <name val="Times New Roman"/>
    </font>
    <font>
      <b/>
      <sz val="14"/>
      <color rgb="FF064E3B"/>
      <name val="Segoe UI"/>
    </font>
    <font>
      <i/>
      <sz val="10"/>
      <color rgb="FF475569"/>
      <name val="Segoe UI"/>
    </font>
    <font>
      <b/>
      <sz val="10"/>
      <color rgb="FFFFFFFF"/>
      <name val="Segoe UI"/>
    </font>
    <font>
      <b/>
      <sz val="11"/>
      <color rgb="FF064E3B"/>
      <name val="Segoe UI"/>
    </font>
    <font>
      <b/>
      <sz val="9.5"/>
      <color rgb="FF0F172A"/>
      <name val="Segoe UI"/>
    </font>
    <font>
      <sz val="9.5"/>
      <color rgb="FF0F172A"/>
      <name val="Segoe UI"/>
    </font>
    <font>
      <b/>
      <sz val="9.5"/>
      <color rgb="FF166534"/>
      <name val="Segoe UI"/>
    </font>
    <font>
      <b/>
      <sz val="9.5"/>
      <color rgb="FF854D0E"/>
      <name val="Segoe UI"/>
    </font>
    <font>
      <b/>
      <sz val="9.5"/>
      <color rgb="FF1E40AF"/>
      <name val="Segoe UI"/>
    </font>
    <font>
      <b/>
      <sz val="10"/>
      <color rgb="FF166534"/>
      <name val="Segoe UI"/>
    </font>
    <font>
      <b/>
      <sz val="9.5"/>
      <color rgb="FF064E3B"/>
      <name val="Segoe UI"/>
    </font>
    <font>
      <b/>
      <sz val="9.5"/>
      <color rgb="FFB45309"/>
      <name val="Segoe UI"/>
    </font>
    <font>
      <b/>
      <sz val="10"/>
      <color rgb="FF991B1B"/>
      <name val="Segoe UI"/>
    </font>
    <font>
      <sz val="9.5"/>
      <color rgb="FF334155"/>
      <name val="Segoe UI"/>
    </font>
  </fonts>
  <fills count="11">
    <fill>
      <patternFill patternType="none"/>
    </fill>
    <fill>
      <patternFill patternType="gray125"/>
    </fill>
    <fill>
      <patternFill patternType="solid">
        <fgColor rgb="FFF2F2F2"/>
      </patternFill>
    </fill>
    <fill>
      <patternFill patternType="solid">
        <fgColor rgb="FF10B981"/>
        <bgColor rgb="FF10B981"/>
      </patternFill>
    </fill>
    <fill>
      <patternFill patternType="solid">
        <fgColor rgb="FFECFDF5"/>
        <bgColor rgb="FFECFDF5"/>
      </patternFill>
    </fill>
    <fill>
      <patternFill patternType="solid">
        <fgColor rgb="FFF8FAFC"/>
        <bgColor rgb="FFF8FAFC"/>
      </patternFill>
    </fill>
    <fill>
      <patternFill patternType="solid">
        <fgColor rgb="FFDCFCE7"/>
        <bgColor rgb="FFDCFCE7"/>
      </patternFill>
    </fill>
    <fill>
      <patternFill patternType="solid">
        <fgColor rgb="FFFEF3C7"/>
        <bgColor rgb="FFFEF3C7"/>
      </patternFill>
    </fill>
    <fill>
      <patternFill patternType="solid">
        <fgColor rgb="FFEFF6FF"/>
        <bgColor rgb="FFEFF6FF"/>
      </patternFill>
    </fill>
    <fill>
      <patternFill patternType="solid">
        <fgColor rgb="FFFEE2E2"/>
        <bgColor rgb="FFFEE2E2"/>
      </patternFill>
    </fill>
    <fill>
      <patternFill patternType="solid">
        <fgColor rgb="FFF1F5F9"/>
        <bgColor rgb="FFF1F5F9"/>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thin">
        <color rgb="FFA7F3D0"/>
      </left>
      <right style="thin">
        <color rgb="FFA7F3D0"/>
      </right>
      <top style="medium">
        <color rgb="FF10B981"/>
      </top>
      <bottom style="thin">
        <color rgb="FF10B981"/>
      </bottom>
      <diagonal/>
    </border>
    <border>
      <left style="thin">
        <color rgb="FFE2E8F0"/>
      </left>
      <right style="thin">
        <color rgb="FFE2E8F0"/>
      </right>
      <top style="thin">
        <color rgb="FFE2E8F0"/>
      </top>
      <bottom style="thin">
        <color rgb="FFE2E8F0"/>
      </bottom>
      <diagonal/>
    </border>
    <border>
      <left/>
      <right/>
      <top style="thin">
        <color rgb="FF94A3B8"/>
      </top>
      <bottom style="double">
        <color rgb="FF0F172A"/>
      </bottom>
      <diagonal/>
    </border>
  </borders>
  <cellStyleXfs count="1">
    <xf numFmtId="0" fontId="0" fillId="0" borderId="0"/>
  </cellStyleXfs>
  <cellXfs count="27">
    <xf numFmtId="0" fontId="0" fillId="0" borderId="0" xfId="0"/>
    <xf numFmtId="0" fontId="4" fillId="3" borderId="1" xfId="0" applyFont="1" applyFill="1" applyBorder="1" applyAlignment="1">
      <alignment horizontal="center" vertical="center"/>
    </xf>
    <xf numFmtId="0" fontId="5" fillId="4" borderId="2" xfId="0" applyFont="1" applyFill="1" applyBorder="1"/>
    <xf numFmtId="0" fontId="6" fillId="0" borderId="3" xfId="0" applyFont="1" applyBorder="1" applyAlignment="1">
      <alignment horizontal="center" vertical="center"/>
    </xf>
    <xf numFmtId="0" fontId="7" fillId="5" borderId="3" xfId="0" applyFont="1" applyFill="1" applyBorder="1" applyAlignment="1">
      <alignment horizontal="left" vertical="center" wrapText="1"/>
    </xf>
    <xf numFmtId="0" fontId="8" fillId="6" borderId="3" xfId="0" applyFont="1" applyFill="1" applyBorder="1" applyAlignment="1">
      <alignment horizontal="center" vertical="center"/>
    </xf>
    <xf numFmtId="0" fontId="7" fillId="0" borderId="3" xfId="0" applyFont="1" applyBorder="1" applyAlignment="1">
      <alignment horizontal="left" vertical="center" wrapText="1"/>
    </xf>
    <xf numFmtId="0" fontId="9" fillId="7" borderId="3" xfId="0" applyFont="1" applyFill="1" applyBorder="1" applyAlignment="1">
      <alignment horizontal="center" vertical="center"/>
    </xf>
    <xf numFmtId="0" fontId="10" fillId="8" borderId="3" xfId="0" applyFont="1" applyFill="1" applyBorder="1" applyAlignment="1">
      <alignment horizontal="center" vertical="center"/>
    </xf>
    <xf numFmtId="0" fontId="1" fillId="2" borderId="4" xfId="0" applyFont="1" applyFill="1" applyBorder="1"/>
    <xf numFmtId="0" fontId="11" fillId="6" borderId="4" xfId="0" applyFont="1" applyFill="1" applyBorder="1" applyAlignment="1">
      <alignment horizontal="center" vertical="center"/>
    </xf>
    <xf numFmtId="0" fontId="3" fillId="2" borderId="4" xfId="0" applyFont="1" applyFill="1" applyBorder="1"/>
    <xf numFmtId="0" fontId="6" fillId="4" borderId="3" xfId="0" applyFont="1" applyFill="1" applyBorder="1" applyAlignment="1">
      <alignment horizontal="center" vertical="center"/>
    </xf>
    <xf numFmtId="0" fontId="12" fillId="0" borderId="3" xfId="0" applyFont="1" applyBorder="1" applyAlignment="1">
      <alignment horizontal="center" vertical="center"/>
    </xf>
    <xf numFmtId="0" fontId="6" fillId="7" borderId="3" xfId="0" applyFont="1" applyFill="1" applyBorder="1" applyAlignment="1">
      <alignment horizontal="center" vertical="center"/>
    </xf>
    <xf numFmtId="0" fontId="13" fillId="0" borderId="3" xfId="0" applyFont="1" applyBorder="1" applyAlignment="1">
      <alignment horizontal="center" vertical="center"/>
    </xf>
    <xf numFmtId="0" fontId="7" fillId="8" borderId="3" xfId="0" applyFont="1" applyFill="1" applyBorder="1" applyAlignment="1">
      <alignment horizontal="left" vertical="center" wrapText="1"/>
    </xf>
    <xf numFmtId="0" fontId="3" fillId="0" borderId="0" xfId="0" applyFont="1" applyAlignment="1">
      <alignment horizontal="left" vertical="center" wrapText="1"/>
    </xf>
    <xf numFmtId="0" fontId="0" fillId="0" borderId="0" xfId="0"/>
    <xf numFmtId="0" fontId="14" fillId="9" borderId="3" xfId="0" applyFont="1" applyFill="1" applyBorder="1" applyAlignment="1">
      <alignment horizontal="center" vertical="center"/>
    </xf>
    <xf numFmtId="0" fontId="0" fillId="0" borderId="3" xfId="0" applyBorder="1"/>
    <xf numFmtId="0" fontId="15" fillId="10" borderId="4" xfId="0" applyFont="1" applyFill="1" applyBorder="1" applyAlignment="1">
      <alignment horizontal="left" vertical="center" wrapText="1"/>
    </xf>
    <xf numFmtId="0" fontId="0" fillId="0" borderId="4" xfId="0" applyBorder="1"/>
    <xf numFmtId="0" fontId="2" fillId="0" borderId="0" xfId="0" applyFont="1" applyAlignment="1">
      <alignment horizontal="center" vertical="center" wrapText="1"/>
    </xf>
    <xf numFmtId="0" fontId="5" fillId="4" borderId="2" xfId="0" applyFont="1" applyFill="1" applyBorder="1" applyAlignment="1">
      <alignment horizontal="left" vertical="center"/>
    </xf>
    <xf numFmtId="0" fontId="5" fillId="4" borderId="2" xfId="0" applyFont="1" applyFill="1" applyBorder="1"/>
    <xf numFmtId="0" fontId="5" fillId="2" borderId="4"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7"/>
  <sheetViews>
    <sheetView workbookViewId="0">
      <pane ySplit="3" topLeftCell="A29" activePane="bottomLeft" state="frozen"/>
      <selection pane="bottomLeft" activeCell="D49" sqref="A47:F49"/>
    </sheetView>
  </sheetViews>
  <sheetFormatPr defaultRowHeight="14.4" x14ac:dyDescent="0.3"/>
  <cols>
    <col min="1" max="1" width="6" customWidth="1"/>
    <col min="2" max="2" width="12" customWidth="1"/>
    <col min="3" max="3" width="69.6640625" customWidth="1"/>
    <col min="4" max="4" width="81.88671875" customWidth="1"/>
    <col min="5" max="5" width="14" customWidth="1"/>
    <col min="6" max="6" width="45" customWidth="1"/>
    <col min="7" max="7" width="24" customWidth="1"/>
    <col min="8" max="8" width="109.6640625" customWidth="1"/>
  </cols>
  <sheetData>
    <row r="1" spans="1:8" ht="28.05" customHeight="1" x14ac:dyDescent="0.3">
      <c r="A1" s="23" t="s">
        <v>51</v>
      </c>
      <c r="B1" s="18"/>
      <c r="C1" s="18"/>
      <c r="D1" s="18"/>
      <c r="E1" s="18"/>
      <c r="F1" s="18"/>
      <c r="G1" s="18"/>
      <c r="H1" s="18"/>
    </row>
    <row r="2" spans="1:8" ht="19.95" customHeight="1" x14ac:dyDescent="0.3">
      <c r="A2" s="17" t="s">
        <v>52</v>
      </c>
      <c r="B2" s="18"/>
      <c r="C2" s="18"/>
      <c r="D2" s="18"/>
      <c r="E2" s="18"/>
      <c r="F2" s="18"/>
      <c r="G2" s="18"/>
      <c r="H2" s="18"/>
    </row>
    <row r="3" spans="1:8" ht="25.95" customHeight="1" x14ac:dyDescent="0.3">
      <c r="A3" s="1" t="s">
        <v>53</v>
      </c>
      <c r="B3" s="1" t="s">
        <v>54</v>
      </c>
      <c r="C3" s="1" t="s">
        <v>55</v>
      </c>
      <c r="D3" s="1" t="s">
        <v>56</v>
      </c>
      <c r="E3" s="1" t="s">
        <v>57</v>
      </c>
      <c r="F3" s="1" t="s">
        <v>58</v>
      </c>
      <c r="G3" s="1" t="s">
        <v>59</v>
      </c>
      <c r="H3" s="1" t="s">
        <v>60</v>
      </c>
    </row>
    <row r="4" spans="1:8" ht="24" customHeight="1" x14ac:dyDescent="0.4">
      <c r="A4" s="2"/>
      <c r="B4" s="24" t="s">
        <v>61</v>
      </c>
      <c r="C4" s="25"/>
      <c r="D4" s="25"/>
      <c r="E4" s="25"/>
      <c r="F4" s="25"/>
      <c r="G4" s="25"/>
      <c r="H4" s="25"/>
    </row>
    <row r="5" spans="1:8" ht="22.05" customHeight="1" x14ac:dyDescent="0.3">
      <c r="A5" s="3">
        <v>1</v>
      </c>
      <c r="B5" s="3" t="s">
        <v>62</v>
      </c>
      <c r="C5" s="4" t="s">
        <v>63</v>
      </c>
      <c r="D5" s="4" t="s">
        <v>64</v>
      </c>
      <c r="E5" s="4"/>
      <c r="F5" s="4" t="s">
        <v>65</v>
      </c>
      <c r="G5" s="5" t="s">
        <v>66</v>
      </c>
      <c r="H5" s="4" t="s">
        <v>67</v>
      </c>
    </row>
    <row r="6" spans="1:8" ht="22.05" customHeight="1" x14ac:dyDescent="0.3">
      <c r="A6" s="3">
        <v>2</v>
      </c>
      <c r="B6" s="3" t="s">
        <v>62</v>
      </c>
      <c r="C6" s="6" t="s">
        <v>68</v>
      </c>
      <c r="D6" s="6" t="s">
        <v>69</v>
      </c>
      <c r="E6" s="6"/>
      <c r="F6" s="6" t="s">
        <v>70</v>
      </c>
      <c r="G6" s="5" t="s">
        <v>66</v>
      </c>
      <c r="H6" s="6" t="s">
        <v>71</v>
      </c>
    </row>
    <row r="7" spans="1:8" ht="22.05" customHeight="1" x14ac:dyDescent="0.3">
      <c r="A7" s="3">
        <v>3</v>
      </c>
      <c r="B7" s="3" t="s">
        <v>62</v>
      </c>
      <c r="C7" s="4" t="s">
        <v>72</v>
      </c>
      <c r="D7" s="4" t="s">
        <v>73</v>
      </c>
      <c r="E7" s="4"/>
      <c r="F7" s="4" t="s">
        <v>74</v>
      </c>
      <c r="G7" s="5" t="s">
        <v>66</v>
      </c>
      <c r="H7" s="4" t="s">
        <v>75</v>
      </c>
    </row>
    <row r="8" spans="1:8" ht="22.05" customHeight="1" x14ac:dyDescent="0.3">
      <c r="A8" s="3">
        <v>4</v>
      </c>
      <c r="B8" s="3" t="s">
        <v>62</v>
      </c>
      <c r="C8" s="6" t="s">
        <v>76</v>
      </c>
      <c r="D8" s="6" t="s">
        <v>77</v>
      </c>
      <c r="E8" s="6"/>
      <c r="F8" s="6" t="s">
        <v>78</v>
      </c>
      <c r="G8" s="5" t="s">
        <v>66</v>
      </c>
      <c r="H8" s="6" t="s">
        <v>79</v>
      </c>
    </row>
    <row r="9" spans="1:8" ht="22.05" customHeight="1" x14ac:dyDescent="0.3">
      <c r="A9" s="3">
        <v>5</v>
      </c>
      <c r="B9" s="3" t="s">
        <v>62</v>
      </c>
      <c r="C9" s="4" t="s">
        <v>80</v>
      </c>
      <c r="D9" s="4" t="s">
        <v>81</v>
      </c>
      <c r="E9" s="4"/>
      <c r="F9" s="4" t="s">
        <v>82</v>
      </c>
      <c r="G9" s="5" t="s">
        <v>66</v>
      </c>
      <c r="H9" s="4" t="s">
        <v>343</v>
      </c>
    </row>
    <row r="10" spans="1:8" ht="22.05" customHeight="1" x14ac:dyDescent="0.3">
      <c r="A10" s="3">
        <v>6</v>
      </c>
      <c r="B10" s="3" t="s">
        <v>62</v>
      </c>
      <c r="C10" s="6" t="s">
        <v>83</v>
      </c>
      <c r="D10" s="6" t="s">
        <v>84</v>
      </c>
      <c r="E10" s="6"/>
      <c r="F10" s="6" t="s">
        <v>85</v>
      </c>
      <c r="G10" s="5" t="s">
        <v>66</v>
      </c>
      <c r="H10" s="6" t="s">
        <v>86</v>
      </c>
    </row>
    <row r="11" spans="1:8" ht="24" customHeight="1" x14ac:dyDescent="0.4">
      <c r="A11" s="2"/>
      <c r="B11" s="24" t="s">
        <v>87</v>
      </c>
      <c r="C11" s="25"/>
      <c r="D11" s="25"/>
      <c r="E11" s="25"/>
      <c r="F11" s="25"/>
      <c r="G11" s="25"/>
      <c r="H11" s="25"/>
    </row>
    <row r="12" spans="1:8" ht="21.6" customHeight="1" x14ac:dyDescent="0.3">
      <c r="A12" s="3">
        <v>7</v>
      </c>
      <c r="B12" s="3" t="s">
        <v>88</v>
      </c>
      <c r="C12" s="6" t="s">
        <v>89</v>
      </c>
      <c r="D12" s="6" t="s">
        <v>90</v>
      </c>
      <c r="E12" s="6"/>
      <c r="F12" s="6" t="s">
        <v>91</v>
      </c>
      <c r="G12" s="5" t="s">
        <v>66</v>
      </c>
      <c r="H12" s="6" t="s">
        <v>92</v>
      </c>
    </row>
    <row r="13" spans="1:8" ht="22.05" customHeight="1" x14ac:dyDescent="0.3">
      <c r="A13" s="3">
        <v>8</v>
      </c>
      <c r="B13" s="3" t="s">
        <v>88</v>
      </c>
      <c r="C13" s="4" t="s">
        <v>93</v>
      </c>
      <c r="D13" s="4" t="s">
        <v>94</v>
      </c>
      <c r="E13" s="4"/>
      <c r="F13" s="4" t="s">
        <v>95</v>
      </c>
      <c r="G13" s="5" t="s">
        <v>66</v>
      </c>
      <c r="H13" s="4" t="s">
        <v>96</v>
      </c>
    </row>
    <row r="14" spans="1:8" ht="22.05" customHeight="1" x14ac:dyDescent="0.3">
      <c r="A14" s="3">
        <v>9</v>
      </c>
      <c r="B14" s="3" t="s">
        <v>88</v>
      </c>
      <c r="C14" s="6" t="s">
        <v>97</v>
      </c>
      <c r="D14" s="6" t="s">
        <v>98</v>
      </c>
      <c r="E14" s="6"/>
      <c r="F14" s="6" t="s">
        <v>99</v>
      </c>
      <c r="G14" s="5" t="s">
        <v>66</v>
      </c>
      <c r="H14" s="6" t="s">
        <v>100</v>
      </c>
    </row>
    <row r="15" spans="1:8" ht="22.05" customHeight="1" x14ac:dyDescent="0.3">
      <c r="A15" s="3">
        <v>10</v>
      </c>
      <c r="B15" s="3" t="s">
        <v>88</v>
      </c>
      <c r="C15" s="4" t="s">
        <v>101</v>
      </c>
      <c r="D15" s="4" t="s">
        <v>102</v>
      </c>
      <c r="E15" s="4"/>
      <c r="F15" s="4" t="s">
        <v>103</v>
      </c>
      <c r="G15" s="5" t="s">
        <v>66</v>
      </c>
      <c r="H15" s="4" t="s">
        <v>104</v>
      </c>
    </row>
    <row r="16" spans="1:8" ht="22.05" customHeight="1" x14ac:dyDescent="0.3">
      <c r="A16" s="3">
        <v>11</v>
      </c>
      <c r="B16" s="3" t="s">
        <v>88</v>
      </c>
      <c r="C16" s="6" t="s">
        <v>105</v>
      </c>
      <c r="D16" s="6" t="s">
        <v>106</v>
      </c>
      <c r="E16" s="6"/>
      <c r="F16" s="6" t="s">
        <v>107</v>
      </c>
      <c r="G16" s="5" t="s">
        <v>66</v>
      </c>
      <c r="H16" s="6" t="s">
        <v>108</v>
      </c>
    </row>
    <row r="17" spans="1:8" ht="22.05" customHeight="1" x14ac:dyDescent="0.3">
      <c r="A17" s="3">
        <v>12</v>
      </c>
      <c r="B17" s="3" t="s">
        <v>88</v>
      </c>
      <c r="C17" s="4" t="s">
        <v>109</v>
      </c>
      <c r="D17" s="4" t="s">
        <v>110</v>
      </c>
      <c r="E17" s="4"/>
      <c r="F17" s="4" t="s">
        <v>111</v>
      </c>
      <c r="G17" s="5" t="s">
        <v>66</v>
      </c>
      <c r="H17" s="4" t="s">
        <v>112</v>
      </c>
    </row>
    <row r="18" spans="1:8" ht="24" customHeight="1" x14ac:dyDescent="0.4">
      <c r="A18" s="2"/>
      <c r="B18" s="24" t="s">
        <v>113</v>
      </c>
      <c r="C18" s="25"/>
      <c r="D18" s="25"/>
      <c r="E18" s="25"/>
      <c r="F18" s="25"/>
      <c r="G18" s="25"/>
      <c r="H18" s="25"/>
    </row>
    <row r="19" spans="1:8" ht="22.05" customHeight="1" x14ac:dyDescent="0.3">
      <c r="A19" s="3">
        <v>13</v>
      </c>
      <c r="B19" s="3" t="s">
        <v>114</v>
      </c>
      <c r="C19" s="4" t="s">
        <v>115</v>
      </c>
      <c r="D19" s="4" t="s">
        <v>116</v>
      </c>
      <c r="E19" s="4"/>
      <c r="F19" s="4" t="s">
        <v>117</v>
      </c>
      <c r="G19" s="5" t="s">
        <v>66</v>
      </c>
      <c r="H19" s="4" t="s">
        <v>118</v>
      </c>
    </row>
    <row r="20" spans="1:8" ht="22.05" customHeight="1" x14ac:dyDescent="0.3">
      <c r="A20" s="3">
        <v>14</v>
      </c>
      <c r="B20" s="3" t="s">
        <v>114</v>
      </c>
      <c r="C20" s="6" t="s">
        <v>119</v>
      </c>
      <c r="D20" s="6" t="s">
        <v>120</v>
      </c>
      <c r="E20" s="6"/>
      <c r="F20" s="6" t="s">
        <v>121</v>
      </c>
      <c r="G20" s="5" t="s">
        <v>66</v>
      </c>
      <c r="H20" s="6" t="s">
        <v>122</v>
      </c>
    </row>
    <row r="21" spans="1:8" ht="22.05" customHeight="1" x14ac:dyDescent="0.3">
      <c r="A21" s="3">
        <v>15</v>
      </c>
      <c r="B21" s="3" t="s">
        <v>114</v>
      </c>
      <c r="C21" s="4" t="s">
        <v>123</v>
      </c>
      <c r="D21" s="4" t="s">
        <v>124</v>
      </c>
      <c r="E21" s="4"/>
      <c r="F21" s="4" t="s">
        <v>125</v>
      </c>
      <c r="G21" s="5" t="s">
        <v>66</v>
      </c>
      <c r="H21" s="4" t="s">
        <v>126</v>
      </c>
    </row>
    <row r="22" spans="1:8" ht="22.05" customHeight="1" x14ac:dyDescent="0.3">
      <c r="A22" s="3">
        <v>16</v>
      </c>
      <c r="B22" s="3" t="s">
        <v>114</v>
      </c>
      <c r="C22" s="6" t="s">
        <v>127</v>
      </c>
      <c r="D22" s="6" t="s">
        <v>128</v>
      </c>
      <c r="E22" s="6"/>
      <c r="F22" s="6" t="s">
        <v>129</v>
      </c>
      <c r="G22" s="5" t="s">
        <v>66</v>
      </c>
      <c r="H22" s="6" t="s">
        <v>130</v>
      </c>
    </row>
    <row r="23" spans="1:8" ht="22.05" customHeight="1" x14ac:dyDescent="0.3">
      <c r="A23" s="3">
        <v>17</v>
      </c>
      <c r="B23" s="3" t="s">
        <v>114</v>
      </c>
      <c r="C23" s="4" t="s">
        <v>131</v>
      </c>
      <c r="D23" s="4" t="s">
        <v>132</v>
      </c>
      <c r="E23" s="4"/>
      <c r="F23" s="4" t="s">
        <v>133</v>
      </c>
      <c r="G23" s="5" t="s">
        <v>66</v>
      </c>
      <c r="H23" s="4" t="s">
        <v>134</v>
      </c>
    </row>
    <row r="24" spans="1:8" ht="22.05" customHeight="1" x14ac:dyDescent="0.3">
      <c r="A24" s="3">
        <v>18</v>
      </c>
      <c r="B24" s="3" t="s">
        <v>114</v>
      </c>
      <c r="C24" s="6" t="s">
        <v>135</v>
      </c>
      <c r="D24" s="6" t="s">
        <v>136</v>
      </c>
      <c r="E24" s="6"/>
      <c r="F24" s="6" t="s">
        <v>137</v>
      </c>
      <c r="G24" s="5" t="s">
        <v>66</v>
      </c>
      <c r="H24" s="6" t="s">
        <v>138</v>
      </c>
    </row>
    <row r="25" spans="1:8" ht="22.05" customHeight="1" x14ac:dyDescent="0.3">
      <c r="A25" s="3">
        <v>19</v>
      </c>
      <c r="B25" s="3" t="s">
        <v>114</v>
      </c>
      <c r="C25" s="4" t="s">
        <v>139</v>
      </c>
      <c r="D25" s="4" t="s">
        <v>140</v>
      </c>
      <c r="E25" s="4"/>
      <c r="F25" s="4" t="s">
        <v>141</v>
      </c>
      <c r="G25" s="5" t="s">
        <v>66</v>
      </c>
      <c r="H25" s="4" t="s">
        <v>142</v>
      </c>
    </row>
    <row r="26" spans="1:8" ht="23.4" customHeight="1" x14ac:dyDescent="0.3">
      <c r="A26" s="3">
        <v>20</v>
      </c>
      <c r="B26" s="3" t="s">
        <v>114</v>
      </c>
      <c r="C26" s="6" t="s">
        <v>143</v>
      </c>
      <c r="D26" s="6" t="s">
        <v>144</v>
      </c>
      <c r="E26" s="6"/>
      <c r="F26" s="6" t="s">
        <v>145</v>
      </c>
      <c r="G26" s="5" t="s">
        <v>66</v>
      </c>
      <c r="H26" s="6" t="s">
        <v>146</v>
      </c>
    </row>
    <row r="27" spans="1:8" ht="24" customHeight="1" x14ac:dyDescent="0.4">
      <c r="A27" s="2"/>
      <c r="B27" s="24" t="s">
        <v>147</v>
      </c>
      <c r="C27" s="25"/>
      <c r="D27" s="25"/>
      <c r="E27" s="25"/>
      <c r="F27" s="25"/>
      <c r="G27" s="25"/>
      <c r="H27" s="25"/>
    </row>
    <row r="28" spans="1:8" ht="22.05" customHeight="1" x14ac:dyDescent="0.3">
      <c r="A28" s="3">
        <v>21</v>
      </c>
      <c r="B28" s="3" t="s">
        <v>148</v>
      </c>
      <c r="C28" s="6" t="s">
        <v>149</v>
      </c>
      <c r="D28" s="6" t="s">
        <v>150</v>
      </c>
      <c r="E28" s="6"/>
      <c r="F28" s="6" t="s">
        <v>151</v>
      </c>
      <c r="G28" s="5" t="s">
        <v>66</v>
      </c>
      <c r="H28" s="6" t="s">
        <v>152</v>
      </c>
    </row>
    <row r="29" spans="1:8" ht="22.05" customHeight="1" x14ac:dyDescent="0.3">
      <c r="A29" s="3">
        <v>22</v>
      </c>
      <c r="B29" s="3" t="s">
        <v>148</v>
      </c>
      <c r="C29" s="4" t="s">
        <v>153</v>
      </c>
      <c r="D29" s="4" t="s">
        <v>154</v>
      </c>
      <c r="E29" s="4"/>
      <c r="F29" s="4" t="s">
        <v>155</v>
      </c>
      <c r="G29" s="5" t="s">
        <v>66</v>
      </c>
      <c r="H29" s="4" t="s">
        <v>156</v>
      </c>
    </row>
    <row r="30" spans="1:8" ht="22.05" customHeight="1" x14ac:dyDescent="0.3">
      <c r="A30" s="3">
        <v>23</v>
      </c>
      <c r="B30" s="3" t="s">
        <v>148</v>
      </c>
      <c r="C30" s="6" t="s">
        <v>157</v>
      </c>
      <c r="D30" s="6" t="s">
        <v>158</v>
      </c>
      <c r="E30" s="6"/>
      <c r="F30" s="6" t="s">
        <v>159</v>
      </c>
      <c r="G30" s="5" t="s">
        <v>66</v>
      </c>
      <c r="H30" s="6" t="s">
        <v>160</v>
      </c>
    </row>
    <row r="31" spans="1:8" ht="22.05" customHeight="1" x14ac:dyDescent="0.3">
      <c r="A31" s="3">
        <v>24</v>
      </c>
      <c r="B31" s="3" t="s">
        <v>148</v>
      </c>
      <c r="C31" s="4" t="s">
        <v>161</v>
      </c>
      <c r="D31" s="4" t="s">
        <v>162</v>
      </c>
      <c r="E31" s="4"/>
      <c r="F31" s="4" t="s">
        <v>163</v>
      </c>
      <c r="G31" s="5" t="s">
        <v>66</v>
      </c>
      <c r="H31" s="4" t="s">
        <v>164</v>
      </c>
    </row>
    <row r="32" spans="1:8" ht="22.05" customHeight="1" x14ac:dyDescent="0.3">
      <c r="A32" s="3">
        <v>25</v>
      </c>
      <c r="B32" s="3" t="s">
        <v>148</v>
      </c>
      <c r="C32" s="6" t="s">
        <v>165</v>
      </c>
      <c r="D32" s="6" t="s">
        <v>166</v>
      </c>
      <c r="E32" s="6"/>
      <c r="F32" s="6" t="s">
        <v>167</v>
      </c>
      <c r="G32" s="5" t="s">
        <v>66</v>
      </c>
      <c r="H32" s="6" t="s">
        <v>168</v>
      </c>
    </row>
    <row r="33" spans="1:8" ht="22.05" customHeight="1" x14ac:dyDescent="0.3">
      <c r="A33" s="3">
        <v>26</v>
      </c>
      <c r="B33" s="3" t="s">
        <v>148</v>
      </c>
      <c r="C33" s="4" t="s">
        <v>169</v>
      </c>
      <c r="D33" s="4" t="s">
        <v>170</v>
      </c>
      <c r="E33" s="4"/>
      <c r="F33" s="4" t="s">
        <v>171</v>
      </c>
      <c r="G33" s="5" t="s">
        <v>66</v>
      </c>
      <c r="H33" s="4" t="s">
        <v>172</v>
      </c>
    </row>
    <row r="34" spans="1:8" ht="22.05" customHeight="1" x14ac:dyDescent="0.3">
      <c r="A34" s="3">
        <v>27</v>
      </c>
      <c r="B34" s="3" t="s">
        <v>148</v>
      </c>
      <c r="C34" s="6" t="s">
        <v>173</v>
      </c>
      <c r="D34" s="6" t="s">
        <v>174</v>
      </c>
      <c r="E34" s="6"/>
      <c r="F34" s="6" t="s">
        <v>175</v>
      </c>
      <c r="G34" s="5" t="s">
        <v>66</v>
      </c>
      <c r="H34" s="6" t="s">
        <v>176</v>
      </c>
    </row>
    <row r="35" spans="1:8" ht="24" customHeight="1" x14ac:dyDescent="0.4">
      <c r="A35" s="2"/>
      <c r="B35" s="24" t="s">
        <v>177</v>
      </c>
      <c r="C35" s="25"/>
      <c r="D35" s="25"/>
      <c r="E35" s="25"/>
      <c r="F35" s="25"/>
      <c r="G35" s="25"/>
      <c r="H35" s="25"/>
    </row>
    <row r="36" spans="1:8" ht="22.05" customHeight="1" x14ac:dyDescent="0.3">
      <c r="A36" s="3">
        <v>28</v>
      </c>
      <c r="B36" s="3" t="s">
        <v>178</v>
      </c>
      <c r="C36" s="6" t="s">
        <v>179</v>
      </c>
      <c r="D36" s="6" t="s">
        <v>180</v>
      </c>
      <c r="E36" s="6"/>
      <c r="F36" s="6" t="s">
        <v>181</v>
      </c>
      <c r="G36" s="7" t="s">
        <v>182</v>
      </c>
      <c r="H36" s="6" t="s">
        <v>183</v>
      </c>
    </row>
    <row r="37" spans="1:8" ht="22.05" customHeight="1" x14ac:dyDescent="0.3">
      <c r="A37" s="3">
        <v>29</v>
      </c>
      <c r="B37" s="3" t="s">
        <v>178</v>
      </c>
      <c r="C37" s="4" t="s">
        <v>184</v>
      </c>
      <c r="D37" s="4" t="s">
        <v>185</v>
      </c>
      <c r="E37" s="4"/>
      <c r="F37" s="4" t="s">
        <v>186</v>
      </c>
      <c r="G37" s="7" t="s">
        <v>182</v>
      </c>
      <c r="H37" s="4" t="s">
        <v>187</v>
      </c>
    </row>
    <row r="38" spans="1:8" ht="22.05" customHeight="1" x14ac:dyDescent="0.3">
      <c r="A38" s="3">
        <v>30</v>
      </c>
      <c r="B38" s="3" t="s">
        <v>178</v>
      </c>
      <c r="C38" s="6" t="s">
        <v>188</v>
      </c>
      <c r="D38" s="6" t="s">
        <v>189</v>
      </c>
      <c r="E38" s="6"/>
      <c r="F38" s="6" t="s">
        <v>190</v>
      </c>
      <c r="G38" s="5" t="s">
        <v>66</v>
      </c>
      <c r="H38" s="6" t="s">
        <v>191</v>
      </c>
    </row>
    <row r="39" spans="1:8" ht="22.05" customHeight="1" x14ac:dyDescent="0.3">
      <c r="A39" s="3">
        <v>31</v>
      </c>
      <c r="B39" s="3" t="s">
        <v>178</v>
      </c>
      <c r="C39" s="4" t="s">
        <v>192</v>
      </c>
      <c r="D39" s="4" t="s">
        <v>193</v>
      </c>
      <c r="E39" s="4"/>
      <c r="F39" s="4" t="s">
        <v>194</v>
      </c>
      <c r="G39" s="5" t="s">
        <v>66</v>
      </c>
      <c r="H39" s="4" t="s">
        <v>195</v>
      </c>
    </row>
    <row r="40" spans="1:8" ht="24" customHeight="1" x14ac:dyDescent="0.4">
      <c r="A40" s="2"/>
      <c r="B40" s="24" t="s">
        <v>196</v>
      </c>
      <c r="C40" s="25"/>
      <c r="D40" s="25"/>
      <c r="E40" s="25"/>
      <c r="F40" s="25"/>
      <c r="G40" s="25"/>
      <c r="H40" s="25"/>
    </row>
    <row r="41" spans="1:8" ht="22.05" customHeight="1" x14ac:dyDescent="0.3">
      <c r="A41" s="3">
        <v>32</v>
      </c>
      <c r="B41" s="3" t="s">
        <v>197</v>
      </c>
      <c r="C41" s="4" t="s">
        <v>198</v>
      </c>
      <c r="D41" s="4" t="s">
        <v>199</v>
      </c>
      <c r="E41" s="4"/>
      <c r="F41" s="4" t="s">
        <v>200</v>
      </c>
      <c r="G41" s="7" t="s">
        <v>201</v>
      </c>
      <c r="H41" s="4" t="s">
        <v>202</v>
      </c>
    </row>
    <row r="42" spans="1:8" ht="22.05" customHeight="1" x14ac:dyDescent="0.3">
      <c r="A42" s="3">
        <v>33</v>
      </c>
      <c r="B42" s="3" t="s">
        <v>197</v>
      </c>
      <c r="C42" s="6" t="s">
        <v>203</v>
      </c>
      <c r="D42" s="6" t="s">
        <v>204</v>
      </c>
      <c r="E42" s="6"/>
      <c r="F42" s="6" t="s">
        <v>205</v>
      </c>
      <c r="G42" s="7" t="s">
        <v>201</v>
      </c>
      <c r="H42" s="6" t="s">
        <v>206</v>
      </c>
    </row>
    <row r="43" spans="1:8" ht="22.05" customHeight="1" x14ac:dyDescent="0.3">
      <c r="A43" s="3">
        <v>34</v>
      </c>
      <c r="B43" s="3" t="s">
        <v>197</v>
      </c>
      <c r="C43" s="4" t="s">
        <v>207</v>
      </c>
      <c r="D43" s="4" t="s">
        <v>208</v>
      </c>
      <c r="E43" s="4"/>
      <c r="F43" s="4" t="s">
        <v>209</v>
      </c>
      <c r="G43" s="7" t="s">
        <v>210</v>
      </c>
      <c r="H43" s="4" t="s">
        <v>211</v>
      </c>
    </row>
    <row r="44" spans="1:8" ht="22.05" customHeight="1" x14ac:dyDescent="0.3">
      <c r="A44" s="3">
        <v>35</v>
      </c>
      <c r="B44" s="3" t="s">
        <v>197</v>
      </c>
      <c r="C44" s="6" t="s">
        <v>212</v>
      </c>
      <c r="D44" s="6" t="s">
        <v>213</v>
      </c>
      <c r="E44" s="6"/>
      <c r="F44" s="6" t="s">
        <v>214</v>
      </c>
      <c r="G44" s="7" t="s">
        <v>210</v>
      </c>
      <c r="H44" s="6" t="s">
        <v>215</v>
      </c>
    </row>
    <row r="45" spans="1:8" ht="22.05" customHeight="1" x14ac:dyDescent="0.3">
      <c r="A45" s="3">
        <v>36</v>
      </c>
      <c r="B45" s="3" t="s">
        <v>197</v>
      </c>
      <c r="C45" s="4" t="s">
        <v>216</v>
      </c>
      <c r="D45" s="4" t="s">
        <v>217</v>
      </c>
      <c r="E45" s="4"/>
      <c r="F45" s="4" t="s">
        <v>218</v>
      </c>
      <c r="G45" s="8" t="s">
        <v>219</v>
      </c>
      <c r="H45" s="4" t="s">
        <v>220</v>
      </c>
    </row>
    <row r="46" spans="1:8" ht="22.05" customHeight="1" x14ac:dyDescent="0.3">
      <c r="A46" s="3">
        <v>37</v>
      </c>
      <c r="B46" s="3" t="s">
        <v>197</v>
      </c>
      <c r="C46" s="6" t="s">
        <v>221</v>
      </c>
      <c r="D46" s="6" t="s">
        <v>222</v>
      </c>
      <c r="E46" s="6"/>
      <c r="F46" s="6" t="s">
        <v>223</v>
      </c>
      <c r="G46" s="8" t="s">
        <v>219</v>
      </c>
      <c r="H46" s="6" t="s">
        <v>224</v>
      </c>
    </row>
    <row r="47" spans="1:8" ht="25.95" customHeight="1" x14ac:dyDescent="0.35">
      <c r="A47" s="9"/>
      <c r="B47" s="26" t="s">
        <v>225</v>
      </c>
      <c r="C47" s="22"/>
      <c r="D47" s="22"/>
      <c r="E47" s="22"/>
      <c r="F47" s="22"/>
      <c r="G47" s="10" t="str">
        <f>COUNTIF(G5:G46,"Xong")&amp;"/37 (Đạt "&amp;TEXT(COUNTIF(G5:G46,"Xong")/37,"0.0%")&amp;")"</f>
        <v>29/37 (Đạt 78.4%)</v>
      </c>
      <c r="H47" s="11" t="s">
        <v>226</v>
      </c>
    </row>
  </sheetData>
  <mergeCells count="9">
    <mergeCell ref="B4:H4"/>
    <mergeCell ref="A2:H2"/>
    <mergeCell ref="B11:H11"/>
    <mergeCell ref="A1:H1"/>
    <mergeCell ref="B40:H40"/>
    <mergeCell ref="B18:H18"/>
    <mergeCell ref="B27:H27"/>
    <mergeCell ref="B47:F47"/>
    <mergeCell ref="B35:H35"/>
  </mergeCells>
  <pageMargins left="0.75" right="0.75" top="1" bottom="1"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
  <sheetViews>
    <sheetView workbookViewId="0">
      <pane ySplit="3" topLeftCell="A8" activePane="bottomLeft" state="frozen"/>
      <selection pane="bottomLeft" activeCell="C10" sqref="C10"/>
    </sheetView>
  </sheetViews>
  <sheetFormatPr defaultRowHeight="14.4" x14ac:dyDescent="0.3"/>
  <cols>
    <col min="1" max="1" width="10" customWidth="1"/>
    <col min="2" max="2" width="35.5546875" customWidth="1"/>
    <col min="3" max="3" width="92.88671875" customWidth="1"/>
    <col min="4" max="4" width="63.5546875" customWidth="1"/>
    <col min="5" max="5" width="55.6640625" customWidth="1"/>
    <col min="6" max="6" width="28" customWidth="1"/>
  </cols>
  <sheetData>
    <row r="1" spans="1:6" ht="28.05" customHeight="1" x14ac:dyDescent="0.3">
      <c r="A1" s="23" t="s">
        <v>0</v>
      </c>
      <c r="B1" s="18"/>
      <c r="C1" s="18"/>
      <c r="D1" s="18"/>
      <c r="E1" s="18"/>
      <c r="F1" s="18"/>
    </row>
    <row r="2" spans="1:6" ht="19.95" customHeight="1" x14ac:dyDescent="0.3">
      <c r="A2" s="17" t="s">
        <v>1</v>
      </c>
      <c r="B2" s="18"/>
      <c r="C2" s="18"/>
      <c r="D2" s="18"/>
      <c r="E2" s="18"/>
      <c r="F2" s="18"/>
    </row>
    <row r="3" spans="1:6" ht="25.95" customHeight="1" x14ac:dyDescent="0.3">
      <c r="A3" s="1" t="s">
        <v>2</v>
      </c>
      <c r="B3" s="1" t="s">
        <v>3</v>
      </c>
      <c r="C3" s="1" t="s">
        <v>4</v>
      </c>
      <c r="D3" s="1" t="s">
        <v>5</v>
      </c>
      <c r="E3" s="1" t="s">
        <v>6</v>
      </c>
      <c r="F3" s="1" t="s">
        <v>7</v>
      </c>
    </row>
    <row r="4" spans="1:6" ht="93.6" customHeight="1" x14ac:dyDescent="0.3">
      <c r="A4" s="12" t="s">
        <v>8</v>
      </c>
      <c r="B4" s="13" t="s">
        <v>9</v>
      </c>
      <c r="C4" s="6" t="s">
        <v>10</v>
      </c>
      <c r="D4" s="6" t="s">
        <v>11</v>
      </c>
      <c r="E4" s="6" t="s">
        <v>12</v>
      </c>
      <c r="F4" s="6" t="s">
        <v>13</v>
      </c>
    </row>
    <row r="5" spans="1:6" ht="97.8" customHeight="1" x14ac:dyDescent="0.3">
      <c r="A5" s="12" t="s">
        <v>14</v>
      </c>
      <c r="B5" s="13" t="s">
        <v>9</v>
      </c>
      <c r="C5" s="6" t="s">
        <v>15</v>
      </c>
      <c r="D5" s="6" t="s">
        <v>16</v>
      </c>
      <c r="E5" s="6" t="s">
        <v>17</v>
      </c>
      <c r="F5" s="6" t="s">
        <v>18</v>
      </c>
    </row>
    <row r="6" spans="1:6" ht="95.4" customHeight="1" x14ac:dyDescent="0.3">
      <c r="A6" s="12" t="s">
        <v>19</v>
      </c>
      <c r="B6" s="13" t="s">
        <v>20</v>
      </c>
      <c r="C6" s="6" t="s">
        <v>21</v>
      </c>
      <c r="D6" s="6" t="s">
        <v>22</v>
      </c>
      <c r="E6" s="6" t="s">
        <v>23</v>
      </c>
      <c r="F6" s="6" t="s">
        <v>24</v>
      </c>
    </row>
    <row r="7" spans="1:6" ht="97.8" customHeight="1" x14ac:dyDescent="0.3">
      <c r="A7" s="12" t="s">
        <v>25</v>
      </c>
      <c r="B7" s="13" t="s">
        <v>26</v>
      </c>
      <c r="C7" s="6" t="s">
        <v>27</v>
      </c>
      <c r="D7" s="6" t="s">
        <v>28</v>
      </c>
      <c r="E7" s="6" t="s">
        <v>29</v>
      </c>
      <c r="F7" s="6" t="s">
        <v>30</v>
      </c>
    </row>
    <row r="8" spans="1:6" ht="98.4" customHeight="1" x14ac:dyDescent="0.3">
      <c r="A8" s="14" t="s">
        <v>31</v>
      </c>
      <c r="B8" s="15" t="s">
        <v>32</v>
      </c>
      <c r="C8" s="16" t="s">
        <v>33</v>
      </c>
      <c r="D8" s="16" t="s">
        <v>34</v>
      </c>
      <c r="E8" s="6" t="s">
        <v>35</v>
      </c>
      <c r="F8" s="6" t="s">
        <v>36</v>
      </c>
    </row>
    <row r="9" spans="1:6" ht="105" customHeight="1" x14ac:dyDescent="0.3">
      <c r="A9" s="14" t="s">
        <v>37</v>
      </c>
      <c r="B9" s="15" t="s">
        <v>38</v>
      </c>
      <c r="C9" s="16" t="s">
        <v>39</v>
      </c>
      <c r="D9" s="16" t="s">
        <v>40</v>
      </c>
      <c r="E9" s="6" t="s">
        <v>41</v>
      </c>
      <c r="F9" s="6" t="s">
        <v>42</v>
      </c>
    </row>
    <row r="10" spans="1:6" ht="103.8" customHeight="1" x14ac:dyDescent="0.3">
      <c r="A10" s="14" t="s">
        <v>43</v>
      </c>
      <c r="B10" s="15" t="s">
        <v>44</v>
      </c>
      <c r="C10" s="16" t="s">
        <v>45</v>
      </c>
      <c r="D10" s="16" t="s">
        <v>46</v>
      </c>
      <c r="E10" s="6" t="s">
        <v>47</v>
      </c>
      <c r="F10" s="6" t="s">
        <v>48</v>
      </c>
    </row>
    <row r="11" spans="1:6" ht="24" customHeight="1" x14ac:dyDescent="0.3">
      <c r="A11" s="19" t="s">
        <v>49</v>
      </c>
      <c r="B11" s="20"/>
      <c r="C11" s="20"/>
      <c r="D11" s="20"/>
      <c r="E11" s="20"/>
      <c r="F11" s="20"/>
    </row>
    <row r="12" spans="1:6" ht="86.4" customHeight="1" x14ac:dyDescent="0.3">
      <c r="A12" s="21" t="s">
        <v>50</v>
      </c>
      <c r="B12" s="22"/>
      <c r="C12" s="22"/>
      <c r="D12" s="22"/>
      <c r="E12" s="22"/>
      <c r="F12" s="22"/>
    </row>
  </sheetData>
  <mergeCells count="4">
    <mergeCell ref="A2:F2"/>
    <mergeCell ref="A11:F11"/>
    <mergeCell ref="A12:F12"/>
    <mergeCell ref="A1:F1"/>
  </mergeCells>
  <pageMargins left="0.75" right="0.75" top="1" bottom="1" header="0.5" footer="0.5"/>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62"/>
  <sheetViews>
    <sheetView tabSelected="1" workbookViewId="0">
      <pane ySplit="3" topLeftCell="A4" activePane="bottomLeft" state="frozen"/>
      <selection pane="bottomLeft" activeCell="H16" sqref="H16"/>
    </sheetView>
  </sheetViews>
  <sheetFormatPr defaultRowHeight="14.4" x14ac:dyDescent="0.3"/>
  <cols>
    <col min="1" max="1" width="6" customWidth="1"/>
    <col min="2" max="2" width="24" customWidth="1"/>
    <col min="3" max="3" width="81.77734375" customWidth="1"/>
    <col min="4" max="4" width="70.6640625" customWidth="1"/>
    <col min="5" max="5" width="22" customWidth="1"/>
  </cols>
  <sheetData>
    <row r="1" spans="1:5" ht="28.05" customHeight="1" x14ac:dyDescent="0.3">
      <c r="A1" s="23" t="s">
        <v>227</v>
      </c>
      <c r="B1" s="18"/>
      <c r="C1" s="18"/>
      <c r="D1" s="18"/>
      <c r="E1" s="18"/>
    </row>
    <row r="2" spans="1:5" ht="19.95" customHeight="1" x14ac:dyDescent="0.3">
      <c r="A2" s="17" t="s">
        <v>228</v>
      </c>
      <c r="B2" s="18"/>
      <c r="C2" s="18"/>
      <c r="D2" s="18"/>
      <c r="E2" s="18"/>
    </row>
    <row r="3" spans="1:5" ht="25.95" customHeight="1" x14ac:dyDescent="0.3">
      <c r="A3" s="1" t="s">
        <v>53</v>
      </c>
      <c r="B3" s="1" t="s">
        <v>229</v>
      </c>
      <c r="C3" s="1" t="s">
        <v>230</v>
      </c>
      <c r="D3" s="1" t="s">
        <v>231</v>
      </c>
      <c r="E3" s="1" t="s">
        <v>232</v>
      </c>
    </row>
    <row r="4" spans="1:5" ht="24" customHeight="1" x14ac:dyDescent="0.4">
      <c r="A4" s="2"/>
      <c r="B4" s="24" t="s">
        <v>233</v>
      </c>
      <c r="C4" s="25"/>
      <c r="D4" s="25"/>
      <c r="E4" s="25"/>
    </row>
    <row r="5" spans="1:5" ht="22.05" customHeight="1" x14ac:dyDescent="0.3">
      <c r="A5" s="3">
        <v>1</v>
      </c>
      <c r="B5" s="6" t="s">
        <v>233</v>
      </c>
      <c r="C5" s="4" t="s">
        <v>234</v>
      </c>
      <c r="D5" s="4" t="s">
        <v>235</v>
      </c>
      <c r="E5" s="5" t="s">
        <v>236</v>
      </c>
    </row>
    <row r="6" spans="1:5" ht="22.05" customHeight="1" x14ac:dyDescent="0.3">
      <c r="A6" s="3">
        <v>2</v>
      </c>
      <c r="B6" s="6" t="s">
        <v>233</v>
      </c>
      <c r="C6" s="6" t="s">
        <v>237</v>
      </c>
      <c r="D6" s="6" t="s">
        <v>238</v>
      </c>
      <c r="E6" s="5" t="s">
        <v>236</v>
      </c>
    </row>
    <row r="7" spans="1:5" ht="22.05" customHeight="1" x14ac:dyDescent="0.3">
      <c r="A7" s="3">
        <v>3</v>
      </c>
      <c r="B7" s="6" t="s">
        <v>233</v>
      </c>
      <c r="C7" s="4" t="s">
        <v>239</v>
      </c>
      <c r="D7" s="4" t="s">
        <v>240</v>
      </c>
      <c r="E7" s="5" t="s">
        <v>236</v>
      </c>
    </row>
    <row r="8" spans="1:5" ht="22.05" customHeight="1" x14ac:dyDescent="0.3">
      <c r="A8" s="3">
        <v>4</v>
      </c>
      <c r="B8" s="6" t="s">
        <v>233</v>
      </c>
      <c r="C8" s="6" t="s">
        <v>241</v>
      </c>
      <c r="D8" s="6" t="s">
        <v>242</v>
      </c>
      <c r="E8" s="5" t="s">
        <v>236</v>
      </c>
    </row>
    <row r="9" spans="1:5" ht="22.05" customHeight="1" x14ac:dyDescent="0.3">
      <c r="A9" s="3">
        <v>5</v>
      </c>
      <c r="B9" s="6" t="s">
        <v>233</v>
      </c>
      <c r="C9" s="4" t="s">
        <v>243</v>
      </c>
      <c r="D9" s="4" t="s">
        <v>244</v>
      </c>
      <c r="E9" s="5" t="s">
        <v>236</v>
      </c>
    </row>
    <row r="10" spans="1:5" ht="22.05" customHeight="1" x14ac:dyDescent="0.3">
      <c r="A10" s="3">
        <v>6</v>
      </c>
      <c r="B10" s="6" t="s">
        <v>233</v>
      </c>
      <c r="C10" s="6" t="s">
        <v>245</v>
      </c>
      <c r="D10" s="6" t="s">
        <v>246</v>
      </c>
      <c r="E10" s="5" t="s">
        <v>236</v>
      </c>
    </row>
    <row r="11" spans="1:5" ht="24" customHeight="1" x14ac:dyDescent="0.4">
      <c r="A11" s="2"/>
      <c r="B11" s="24" t="s">
        <v>247</v>
      </c>
      <c r="C11" s="25"/>
      <c r="D11" s="25"/>
      <c r="E11" s="25"/>
    </row>
    <row r="12" spans="1:5" ht="22.05" customHeight="1" x14ac:dyDescent="0.3">
      <c r="A12" s="3">
        <v>7</v>
      </c>
      <c r="B12" s="6" t="s">
        <v>247</v>
      </c>
      <c r="C12" s="6" t="s">
        <v>248</v>
      </c>
      <c r="D12" s="6" t="s">
        <v>249</v>
      </c>
      <c r="E12" s="5" t="s">
        <v>236</v>
      </c>
    </row>
    <row r="13" spans="1:5" ht="22.05" customHeight="1" x14ac:dyDescent="0.3">
      <c r="A13" s="3">
        <v>8</v>
      </c>
      <c r="B13" s="6" t="s">
        <v>247</v>
      </c>
      <c r="C13" s="4" t="s">
        <v>250</v>
      </c>
      <c r="D13" s="4" t="s">
        <v>251</v>
      </c>
      <c r="E13" s="5" t="s">
        <v>236</v>
      </c>
    </row>
    <row r="14" spans="1:5" ht="22.05" customHeight="1" x14ac:dyDescent="0.3">
      <c r="A14" s="3">
        <v>9</v>
      </c>
      <c r="B14" s="6" t="s">
        <v>247</v>
      </c>
      <c r="C14" s="6" t="s">
        <v>252</v>
      </c>
      <c r="D14" s="6" t="s">
        <v>253</v>
      </c>
      <c r="E14" s="5" t="s">
        <v>236</v>
      </c>
    </row>
    <row r="15" spans="1:5" ht="22.05" customHeight="1" x14ac:dyDescent="0.3">
      <c r="A15" s="3">
        <v>10</v>
      </c>
      <c r="B15" s="6" t="s">
        <v>247</v>
      </c>
      <c r="C15" s="4" t="s">
        <v>254</v>
      </c>
      <c r="D15" s="4" t="s">
        <v>255</v>
      </c>
      <c r="E15" s="5" t="s">
        <v>236</v>
      </c>
    </row>
    <row r="16" spans="1:5" ht="22.05" customHeight="1" x14ac:dyDescent="0.3">
      <c r="A16" s="3">
        <v>11</v>
      </c>
      <c r="B16" s="6" t="s">
        <v>247</v>
      </c>
      <c r="C16" s="6" t="s">
        <v>256</v>
      </c>
      <c r="D16" s="6" t="s">
        <v>257</v>
      </c>
      <c r="E16" s="5" t="s">
        <v>236</v>
      </c>
    </row>
    <row r="17" spans="1:5" ht="22.05" customHeight="1" x14ac:dyDescent="0.3">
      <c r="A17" s="3">
        <v>12</v>
      </c>
      <c r="B17" s="6" t="s">
        <v>247</v>
      </c>
      <c r="C17" s="4" t="s">
        <v>258</v>
      </c>
      <c r="D17" s="4" t="s">
        <v>259</v>
      </c>
      <c r="E17" s="5" t="s">
        <v>236</v>
      </c>
    </row>
    <row r="18" spans="1:5" ht="24" customHeight="1" x14ac:dyDescent="0.4">
      <c r="A18" s="2"/>
      <c r="B18" s="24" t="s">
        <v>260</v>
      </c>
      <c r="C18" s="25"/>
      <c r="D18" s="25"/>
      <c r="E18" s="25"/>
    </row>
    <row r="19" spans="1:5" ht="22.05" customHeight="1" x14ac:dyDescent="0.3">
      <c r="A19" s="3">
        <v>13</v>
      </c>
      <c r="B19" s="6" t="s">
        <v>260</v>
      </c>
      <c r="C19" s="4" t="s">
        <v>261</v>
      </c>
      <c r="D19" s="4" t="s">
        <v>262</v>
      </c>
      <c r="E19" s="5" t="s">
        <v>236</v>
      </c>
    </row>
    <row r="20" spans="1:5" ht="22.05" customHeight="1" x14ac:dyDescent="0.3">
      <c r="A20" s="3">
        <v>14</v>
      </c>
      <c r="B20" s="6" t="s">
        <v>260</v>
      </c>
      <c r="C20" s="6" t="s">
        <v>263</v>
      </c>
      <c r="D20" s="6" t="s">
        <v>264</v>
      </c>
      <c r="E20" s="5" t="s">
        <v>236</v>
      </c>
    </row>
    <row r="21" spans="1:5" ht="22.05" customHeight="1" x14ac:dyDescent="0.3">
      <c r="A21" s="3">
        <v>15</v>
      </c>
      <c r="B21" s="6" t="s">
        <v>260</v>
      </c>
      <c r="C21" s="4" t="s">
        <v>265</v>
      </c>
      <c r="D21" s="4" t="s">
        <v>266</v>
      </c>
      <c r="E21" s="5" t="s">
        <v>236</v>
      </c>
    </row>
    <row r="22" spans="1:5" ht="22.05" customHeight="1" x14ac:dyDescent="0.3">
      <c r="A22" s="3">
        <v>16</v>
      </c>
      <c r="B22" s="6" t="s">
        <v>260</v>
      </c>
      <c r="C22" s="6" t="s">
        <v>267</v>
      </c>
      <c r="D22" s="6" t="s">
        <v>268</v>
      </c>
      <c r="E22" s="5" t="s">
        <v>236</v>
      </c>
    </row>
    <row r="23" spans="1:5" ht="22.05" customHeight="1" x14ac:dyDescent="0.3">
      <c r="A23" s="3">
        <v>17</v>
      </c>
      <c r="B23" s="6" t="s">
        <v>260</v>
      </c>
      <c r="C23" s="4" t="s">
        <v>269</v>
      </c>
      <c r="D23" s="4" t="s">
        <v>270</v>
      </c>
      <c r="E23" s="5" t="s">
        <v>236</v>
      </c>
    </row>
    <row r="24" spans="1:5" ht="22.05" customHeight="1" x14ac:dyDescent="0.3">
      <c r="A24" s="3">
        <v>18</v>
      </c>
      <c r="B24" s="6" t="s">
        <v>260</v>
      </c>
      <c r="C24" s="6" t="s">
        <v>271</v>
      </c>
      <c r="D24" s="6" t="s">
        <v>272</v>
      </c>
      <c r="E24" s="5" t="s">
        <v>236</v>
      </c>
    </row>
    <row r="25" spans="1:5" ht="24" customHeight="1" x14ac:dyDescent="0.4">
      <c r="A25" s="2"/>
      <c r="B25" s="24" t="s">
        <v>273</v>
      </c>
      <c r="C25" s="25"/>
      <c r="D25" s="25"/>
      <c r="E25" s="25"/>
    </row>
    <row r="26" spans="1:5" ht="22.05" customHeight="1" x14ac:dyDescent="0.3">
      <c r="A26" s="3">
        <v>19</v>
      </c>
      <c r="B26" s="6" t="s">
        <v>273</v>
      </c>
      <c r="C26" s="6" t="s">
        <v>127</v>
      </c>
      <c r="D26" s="6" t="s">
        <v>274</v>
      </c>
      <c r="E26" s="5" t="s">
        <v>236</v>
      </c>
    </row>
    <row r="27" spans="1:5" ht="22.05" customHeight="1" x14ac:dyDescent="0.3">
      <c r="A27" s="3">
        <v>20</v>
      </c>
      <c r="B27" s="6" t="s">
        <v>273</v>
      </c>
      <c r="C27" s="4" t="s">
        <v>275</v>
      </c>
      <c r="D27" s="4" t="s">
        <v>276</v>
      </c>
      <c r="E27" s="5" t="s">
        <v>236</v>
      </c>
    </row>
    <row r="28" spans="1:5" ht="22.05" customHeight="1" x14ac:dyDescent="0.3">
      <c r="A28" s="3">
        <v>21</v>
      </c>
      <c r="B28" s="6" t="s">
        <v>273</v>
      </c>
      <c r="C28" s="6" t="s">
        <v>277</v>
      </c>
      <c r="D28" s="6" t="s">
        <v>278</v>
      </c>
      <c r="E28" s="5" t="s">
        <v>236</v>
      </c>
    </row>
    <row r="29" spans="1:5" ht="22.05" customHeight="1" x14ac:dyDescent="0.3">
      <c r="A29" s="3">
        <v>22</v>
      </c>
      <c r="B29" s="6" t="s">
        <v>273</v>
      </c>
      <c r="C29" s="4" t="s">
        <v>279</v>
      </c>
      <c r="D29" s="4" t="s">
        <v>280</v>
      </c>
      <c r="E29" s="5" t="s">
        <v>236</v>
      </c>
    </row>
    <row r="30" spans="1:5" ht="22.05" customHeight="1" x14ac:dyDescent="0.3">
      <c r="A30" s="3">
        <v>23</v>
      </c>
      <c r="B30" s="6" t="s">
        <v>273</v>
      </c>
      <c r="C30" s="6" t="s">
        <v>281</v>
      </c>
      <c r="D30" s="6" t="s">
        <v>282</v>
      </c>
      <c r="E30" s="5" t="s">
        <v>236</v>
      </c>
    </row>
    <row r="31" spans="1:5" ht="22.05" customHeight="1" x14ac:dyDescent="0.3">
      <c r="A31" s="3">
        <v>24</v>
      </c>
      <c r="B31" s="6" t="s">
        <v>273</v>
      </c>
      <c r="C31" s="4" t="s">
        <v>283</v>
      </c>
      <c r="D31" s="4" t="s">
        <v>284</v>
      </c>
      <c r="E31" s="5" t="s">
        <v>236</v>
      </c>
    </row>
    <row r="32" spans="1:5" ht="22.05" customHeight="1" x14ac:dyDescent="0.3">
      <c r="A32" s="3">
        <v>25</v>
      </c>
      <c r="B32" s="6" t="s">
        <v>273</v>
      </c>
      <c r="C32" s="6" t="s">
        <v>285</v>
      </c>
      <c r="D32" s="6" t="s">
        <v>286</v>
      </c>
      <c r="E32" s="5" t="s">
        <v>236</v>
      </c>
    </row>
    <row r="33" spans="1:5" ht="22.05" customHeight="1" x14ac:dyDescent="0.3">
      <c r="A33" s="3">
        <v>26</v>
      </c>
      <c r="B33" s="6" t="s">
        <v>273</v>
      </c>
      <c r="C33" s="4" t="s">
        <v>287</v>
      </c>
      <c r="D33" s="4" t="s">
        <v>288</v>
      </c>
      <c r="E33" s="5" t="s">
        <v>236</v>
      </c>
    </row>
    <row r="34" spans="1:5" ht="22.05" customHeight="1" x14ac:dyDescent="0.3">
      <c r="A34" s="3">
        <v>27</v>
      </c>
      <c r="B34" s="6" t="s">
        <v>273</v>
      </c>
      <c r="C34" s="6" t="s">
        <v>289</v>
      </c>
      <c r="D34" s="6" t="s">
        <v>290</v>
      </c>
      <c r="E34" s="5" t="s">
        <v>236</v>
      </c>
    </row>
    <row r="35" spans="1:5" ht="24" customHeight="1" x14ac:dyDescent="0.4">
      <c r="A35" s="2"/>
      <c r="B35" s="24" t="s">
        <v>291</v>
      </c>
      <c r="C35" s="25"/>
      <c r="D35" s="25"/>
      <c r="E35" s="25"/>
    </row>
    <row r="36" spans="1:5" ht="22.05" customHeight="1" x14ac:dyDescent="0.3">
      <c r="A36" s="3">
        <v>28</v>
      </c>
      <c r="B36" s="6" t="s">
        <v>291</v>
      </c>
      <c r="C36" s="6" t="s">
        <v>292</v>
      </c>
      <c r="D36" s="6" t="s">
        <v>293</v>
      </c>
      <c r="E36" s="5" t="s">
        <v>236</v>
      </c>
    </row>
    <row r="37" spans="1:5" ht="22.05" customHeight="1" x14ac:dyDescent="0.3">
      <c r="A37" s="3">
        <v>29</v>
      </c>
      <c r="B37" s="6" t="s">
        <v>291</v>
      </c>
      <c r="C37" s="4" t="s">
        <v>294</v>
      </c>
      <c r="D37" s="4" t="s">
        <v>295</v>
      </c>
      <c r="E37" s="5" t="s">
        <v>236</v>
      </c>
    </row>
    <row r="38" spans="1:5" ht="22.05" customHeight="1" x14ac:dyDescent="0.3">
      <c r="A38" s="3">
        <v>30</v>
      </c>
      <c r="B38" s="6" t="s">
        <v>291</v>
      </c>
      <c r="C38" s="6" t="s">
        <v>296</v>
      </c>
      <c r="D38" s="6" t="s">
        <v>297</v>
      </c>
      <c r="E38" s="5" t="s">
        <v>236</v>
      </c>
    </row>
    <row r="39" spans="1:5" ht="22.05" customHeight="1" x14ac:dyDescent="0.3">
      <c r="A39" s="3">
        <v>31</v>
      </c>
      <c r="B39" s="6" t="s">
        <v>291</v>
      </c>
      <c r="C39" s="4" t="s">
        <v>298</v>
      </c>
      <c r="D39" s="4" t="s">
        <v>299</v>
      </c>
      <c r="E39" s="5" t="s">
        <v>236</v>
      </c>
    </row>
    <row r="40" spans="1:5" ht="22.05" customHeight="1" x14ac:dyDescent="0.3">
      <c r="A40" s="3">
        <v>32</v>
      </c>
      <c r="B40" s="6" t="s">
        <v>291</v>
      </c>
      <c r="C40" s="6" t="s">
        <v>300</v>
      </c>
      <c r="D40" s="6" t="s">
        <v>301</v>
      </c>
      <c r="E40" s="5" t="s">
        <v>236</v>
      </c>
    </row>
    <row r="41" spans="1:5" ht="22.05" customHeight="1" x14ac:dyDescent="0.3">
      <c r="A41" s="3">
        <v>33</v>
      </c>
      <c r="B41" s="6" t="s">
        <v>291</v>
      </c>
      <c r="C41" s="4" t="s">
        <v>302</v>
      </c>
      <c r="D41" s="4" t="s">
        <v>303</v>
      </c>
      <c r="E41" s="5" t="s">
        <v>236</v>
      </c>
    </row>
    <row r="42" spans="1:5" ht="22.05" customHeight="1" x14ac:dyDescent="0.3">
      <c r="A42" s="3">
        <v>34</v>
      </c>
      <c r="B42" s="6" t="s">
        <v>291</v>
      </c>
      <c r="C42" s="6" t="s">
        <v>304</v>
      </c>
      <c r="D42" s="6" t="s">
        <v>305</v>
      </c>
      <c r="E42" s="5" t="s">
        <v>236</v>
      </c>
    </row>
    <row r="43" spans="1:5" ht="24" customHeight="1" x14ac:dyDescent="0.4">
      <c r="A43" s="2"/>
      <c r="B43" s="24" t="s">
        <v>306</v>
      </c>
      <c r="C43" s="25"/>
      <c r="D43" s="25"/>
      <c r="E43" s="25"/>
    </row>
    <row r="44" spans="1:5" ht="22.05" customHeight="1" x14ac:dyDescent="0.3">
      <c r="A44" s="3">
        <v>35</v>
      </c>
      <c r="B44" s="6" t="s">
        <v>306</v>
      </c>
      <c r="C44" s="6" t="s">
        <v>307</v>
      </c>
      <c r="D44" s="6" t="s">
        <v>308</v>
      </c>
      <c r="E44" s="7" t="s">
        <v>309</v>
      </c>
    </row>
    <row r="45" spans="1:5" ht="22.05" customHeight="1" x14ac:dyDescent="0.3">
      <c r="A45" s="3">
        <v>36</v>
      </c>
      <c r="B45" s="6" t="s">
        <v>306</v>
      </c>
      <c r="C45" s="4" t="s">
        <v>310</v>
      </c>
      <c r="D45" s="4" t="s">
        <v>311</v>
      </c>
      <c r="E45" s="5" t="s">
        <v>236</v>
      </c>
    </row>
    <row r="46" spans="1:5" ht="22.05" customHeight="1" x14ac:dyDescent="0.3">
      <c r="A46" s="3">
        <v>37</v>
      </c>
      <c r="B46" s="6" t="s">
        <v>306</v>
      </c>
      <c r="C46" s="6" t="s">
        <v>312</v>
      </c>
      <c r="D46" s="6" t="s">
        <v>313</v>
      </c>
      <c r="E46" s="5" t="s">
        <v>236</v>
      </c>
    </row>
    <row r="47" spans="1:5" ht="22.05" customHeight="1" x14ac:dyDescent="0.3">
      <c r="A47" s="3">
        <v>38</v>
      </c>
      <c r="B47" s="6" t="s">
        <v>306</v>
      </c>
      <c r="C47" s="4" t="s">
        <v>314</v>
      </c>
      <c r="D47" s="4" t="s">
        <v>315</v>
      </c>
      <c r="E47" s="5" t="s">
        <v>236</v>
      </c>
    </row>
    <row r="48" spans="1:5" ht="22.05" customHeight="1" x14ac:dyDescent="0.3">
      <c r="A48" s="3">
        <v>39</v>
      </c>
      <c r="B48" s="6" t="s">
        <v>306</v>
      </c>
      <c r="C48" s="6" t="s">
        <v>316</v>
      </c>
      <c r="D48" s="6" t="s">
        <v>317</v>
      </c>
      <c r="E48" s="5" t="s">
        <v>236</v>
      </c>
    </row>
    <row r="49" spans="1:5" ht="24" customHeight="1" x14ac:dyDescent="0.4">
      <c r="A49" s="2"/>
      <c r="B49" s="24" t="s">
        <v>318</v>
      </c>
      <c r="C49" s="25"/>
      <c r="D49" s="25"/>
      <c r="E49" s="25"/>
    </row>
    <row r="50" spans="1:5" ht="22.05" customHeight="1" x14ac:dyDescent="0.3">
      <c r="A50" s="3">
        <v>40</v>
      </c>
      <c r="B50" s="6" t="s">
        <v>318</v>
      </c>
      <c r="C50" s="6" t="s">
        <v>319</v>
      </c>
      <c r="D50" s="6" t="s">
        <v>320</v>
      </c>
      <c r="E50" s="7" t="s">
        <v>309</v>
      </c>
    </row>
    <row r="51" spans="1:5" ht="22.05" customHeight="1" x14ac:dyDescent="0.3">
      <c r="A51" s="3">
        <v>41</v>
      </c>
      <c r="B51" s="6" t="s">
        <v>318</v>
      </c>
      <c r="C51" s="4" t="s">
        <v>321</v>
      </c>
      <c r="D51" s="4" t="s">
        <v>322</v>
      </c>
      <c r="E51" s="7" t="s">
        <v>309</v>
      </c>
    </row>
    <row r="52" spans="1:5" ht="22.05" customHeight="1" x14ac:dyDescent="0.3">
      <c r="A52" s="3">
        <v>42</v>
      </c>
      <c r="B52" s="6" t="s">
        <v>318</v>
      </c>
      <c r="C52" s="6" t="s">
        <v>323</v>
      </c>
      <c r="D52" s="6" t="s">
        <v>324</v>
      </c>
      <c r="E52" s="7" t="s">
        <v>309</v>
      </c>
    </row>
    <row r="53" spans="1:5" ht="22.05" customHeight="1" x14ac:dyDescent="0.3">
      <c r="A53" s="3">
        <v>43</v>
      </c>
      <c r="B53" s="6" t="s">
        <v>318</v>
      </c>
      <c r="C53" s="4" t="s">
        <v>325</v>
      </c>
      <c r="D53" s="4" t="s">
        <v>326</v>
      </c>
      <c r="E53" s="5" t="s">
        <v>236</v>
      </c>
    </row>
    <row r="54" spans="1:5" ht="22.05" customHeight="1" x14ac:dyDescent="0.3">
      <c r="A54" s="3">
        <v>44</v>
      </c>
      <c r="B54" s="6" t="s">
        <v>318</v>
      </c>
      <c r="C54" s="6" t="s">
        <v>327</v>
      </c>
      <c r="D54" s="6" t="s">
        <v>328</v>
      </c>
      <c r="E54" s="5" t="s">
        <v>236</v>
      </c>
    </row>
    <row r="55" spans="1:5" ht="24" customHeight="1" x14ac:dyDescent="0.4">
      <c r="A55" s="2"/>
      <c r="B55" s="24" t="s">
        <v>329</v>
      </c>
      <c r="C55" s="25"/>
      <c r="D55" s="25"/>
      <c r="E55" s="25"/>
    </row>
    <row r="56" spans="1:5" ht="22.05" customHeight="1" x14ac:dyDescent="0.3">
      <c r="A56" s="3">
        <v>45</v>
      </c>
      <c r="B56" s="6" t="s">
        <v>329</v>
      </c>
      <c r="C56" s="6" t="s">
        <v>330</v>
      </c>
      <c r="D56" s="6" t="s">
        <v>331</v>
      </c>
      <c r="E56" s="7" t="s">
        <v>201</v>
      </c>
    </row>
    <row r="57" spans="1:5" ht="22.05" customHeight="1" x14ac:dyDescent="0.3">
      <c r="A57" s="3">
        <v>46</v>
      </c>
      <c r="B57" s="6" t="s">
        <v>329</v>
      </c>
      <c r="C57" s="4" t="s">
        <v>332</v>
      </c>
      <c r="D57" s="4" t="s">
        <v>333</v>
      </c>
      <c r="E57" s="7" t="s">
        <v>201</v>
      </c>
    </row>
    <row r="58" spans="1:5" ht="22.05" customHeight="1" x14ac:dyDescent="0.3">
      <c r="A58" s="3">
        <v>47</v>
      </c>
      <c r="B58" s="6" t="s">
        <v>329</v>
      </c>
      <c r="C58" s="6" t="s">
        <v>334</v>
      </c>
      <c r="D58" s="6" t="s">
        <v>335</v>
      </c>
      <c r="E58" s="7" t="s">
        <v>201</v>
      </c>
    </row>
    <row r="59" spans="1:5" ht="22.05" customHeight="1" x14ac:dyDescent="0.3">
      <c r="A59" s="3">
        <v>48</v>
      </c>
      <c r="B59" s="6" t="s">
        <v>329</v>
      </c>
      <c r="C59" s="4" t="s">
        <v>336</v>
      </c>
      <c r="D59" s="4" t="s">
        <v>337</v>
      </c>
      <c r="E59" s="8" t="s">
        <v>219</v>
      </c>
    </row>
    <row r="60" spans="1:5" ht="22.05" customHeight="1" x14ac:dyDescent="0.3">
      <c r="A60" s="3">
        <v>49</v>
      </c>
      <c r="B60" s="6" t="s">
        <v>329</v>
      </c>
      <c r="C60" s="6" t="s">
        <v>338</v>
      </c>
      <c r="D60" s="6" t="s">
        <v>339</v>
      </c>
      <c r="E60" s="8" t="s">
        <v>219</v>
      </c>
    </row>
    <row r="61" spans="1:5" ht="22.05" customHeight="1" x14ac:dyDescent="0.3">
      <c r="A61" s="3">
        <v>50</v>
      </c>
      <c r="B61" s="6" t="s">
        <v>329</v>
      </c>
      <c r="C61" s="4" t="s">
        <v>340</v>
      </c>
      <c r="D61" s="4" t="s">
        <v>341</v>
      </c>
      <c r="E61" s="8" t="s">
        <v>219</v>
      </c>
    </row>
    <row r="62" spans="1:5" ht="25.95" customHeight="1" x14ac:dyDescent="0.3">
      <c r="A62" s="9"/>
      <c r="B62" s="26" t="s">
        <v>342</v>
      </c>
      <c r="C62" s="22"/>
      <c r="D62" s="22"/>
      <c r="E62" s="10" t="str">
        <f>COUNTIF(E5:E61,"Đạt")&amp;"/50 (Đạt "&amp;TEXT(COUNTIF(E5:E61,"Đạt")/50,"0.0%")&amp;")"</f>
        <v>40/50 (Đạt 80.0%)</v>
      </c>
    </row>
  </sheetData>
  <mergeCells count="11">
    <mergeCell ref="B62:D62"/>
    <mergeCell ref="B49:E49"/>
    <mergeCell ref="A1:E1"/>
    <mergeCell ref="B11:E11"/>
    <mergeCell ref="B25:E25"/>
    <mergeCell ref="B55:E55"/>
    <mergeCell ref="B18:E18"/>
    <mergeCell ref="B35:E35"/>
    <mergeCell ref="B4:E4"/>
    <mergeCell ref="A2:E2"/>
    <mergeCell ref="B43:E43"/>
  </mergeCells>
  <pageMargins left="0.75" right="0.75" top="1" bottom="1"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vt:lpstr>
      <vt:lpstr>KeHoachTuan</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Ngoan</cp:lastModifiedBy>
  <cp:revision>1</cp:revision>
  <dcterms:created xsi:type="dcterms:W3CDTF">2026-10-07T02:52:29Z</dcterms:created>
  <dcterms:modified xsi:type="dcterms:W3CDTF">2026-10-13T06:23:54Z</dcterms:modified>
</cp:coreProperties>
</file>