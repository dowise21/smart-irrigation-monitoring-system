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11" autoFilterDateGrouping="1"/>
  </bookViews>
  <sheets>
    <sheet name="BatDau" sheetId="1" state="visible" r:id="rId1"/>
    <sheet name="DongVai" sheetId="2" state="visible" r:id="rId2"/>
    <sheet name="ThongTinBuoi" sheetId="3" state="visible" r:id="rId3"/>
    <sheet name="TacVu_DienThoai" sheetId="4" state="visible" r:id="rId4"/>
    <sheet name="TacVu_Laptop" sheetId="5" state="visible" r:id="rId5"/>
    <sheet name="TacVu_ThietBi" sheetId="6" state="visible" r:id="rId6"/>
    <sheet name="SUS" sheetId="7" state="visible" r:id="rId7"/>
    <sheet name="NhatKyLoi" sheetId="8" state="visible" r:id="rId8"/>
    <sheet name="SoatVaiTro" sheetId="9" state="visible" r:id="rId9"/>
    <sheet name="GiaTriThat" sheetId="10" state="visible" r:id="rId10"/>
    <sheet name="TongHop" sheetId="11" state="visible" r:id="rId11"/>
    <sheet name="NopBai" sheetId="12" state="visible" r:id="rId12"/>
  </sheets>
  <definedNames>
    <definedName name="_xlnm.Print_Titles" localSheetId="0">BatDau!$1:$1</definedName>
    <definedName name="_xlnm.Print_Titles" localSheetId="1">DongVai!$1:$1</definedName>
    <definedName name="_xlnm.Print_Titles" localSheetId="2">ThongTinBuoi!$1:$1</definedName>
    <definedName name="_xlnm.Print_Titles" localSheetId="3">TacVu_DienThoai!$1:$1</definedName>
    <definedName name="_xlnm.Print_Titles" localSheetId="4">TacVu_Laptop!$1:$1</definedName>
    <definedName name="_xlnm.Print_Titles" localSheetId="5">TacVu_ThietBi!$1:$1</definedName>
    <definedName name="_xlnm.Print_Titles" localSheetId="6">SUS!$1:$1</definedName>
    <definedName name="_xlnm.Print_Titles" localSheetId="7">NhatKyLoi!$1:$1</definedName>
    <definedName name="_xlnm.Print_Titles" localSheetId="8">SoatVaiTro!$1:$1</definedName>
    <definedName name="_xlnm.Print_Titles" localSheetId="9">GiaTriThat!$1:$1</definedName>
    <definedName name="_xlnm.Print_Titles" localSheetId="10">TongHop!$1:$1</definedName>
    <definedName name="_xlnm.Print_Titles" localSheetId="11">NopBai!$1:$1</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b val="1"/>
      <sz val="14"/>
    </font>
    <font>
      <sz val="11"/>
    </font>
    <font>
      <b val="1"/>
      <sz val="11"/>
    </font>
    <font>
      <b val="1"/>
      <sz val="13"/>
    </font>
  </fonts>
  <fills count="4">
    <fill>
      <patternFill/>
    </fill>
    <fill>
      <patternFill patternType="gray125"/>
    </fill>
    <fill>
      <patternFill patternType="solid">
        <fgColor rgb="FFFFF2CC"/>
      </patternFill>
    </fill>
    <fill>
      <patternFill patternType="solid">
        <fgColor rgb="FFFFE699"/>
      </patternFill>
    </fill>
  </fills>
  <borders count="6">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left" vertical="top" wrapText="1"/>
    </xf>
    <xf numFmtId="0" fontId="2" fillId="2" borderId="1" applyAlignment="1" pivotButton="0" quotePrefix="0" xfId="0">
      <alignment horizontal="left" vertical="top" wrapText="1"/>
    </xf>
    <xf numFmtId="0" fontId="0" fillId="2" borderId="1" applyAlignment="1" pivotButton="0" quotePrefix="0" xfId="0">
      <alignment horizontal="left" vertical="top" wrapText="1"/>
    </xf>
    <xf numFmtId="0" fontId="0" fillId="0" borderId="1" pivotButton="0" quotePrefix="0" xfId="0"/>
    <xf numFmtId="0" fontId="0" fillId="2" borderId="1" pivotButton="0" quotePrefix="0" xfId="0"/>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sheetPr>
    <outlinePr applyStyles="0" summaryBelow="1" summaryRight="1" showOutlineSymbols="1"/>
    <pageSetUpPr autoPageBreaks="1" fitToPage="1"/>
  </sheetPr>
  <dimension ref="A1:H54"/>
  <sheetViews>
    <sheetView topLeftCell="A1" zoomScale="100" workbookViewId="0">
      <pane ySplit="1" topLeftCell="A2" activePane="bottomLeft" state="frozen"/>
      <selection activeCell="A1" activeCellId="0" sqref="A1"/>
    </sheetView>
  </sheetViews>
  <sheetFormatPr baseColWidth="8" defaultRowHeight="14.25"/>
  <cols>
    <col width="4" customWidth="1" min="1" max="1"/>
    <col width="26" customWidth="1" min="2" max="2"/>
    <col width="34" customWidth="1" min="3" max="4"/>
    <col width="20" customWidth="1" min="5" max="5"/>
    <col width="14" customWidth="1" min="6" max="8"/>
  </cols>
  <sheetData>
    <row r="1" ht="21" customHeight="1">
      <c r="A1" s="1" t="inlineStr">
        <is>
          <t>PHIẾU CHO NGƯỜI DÙNG THỬ, ĐỀ TÀI SMART IRRIGATION MONITORING SYSTEM (GROUP 1 - PRJ301)</t>
        </is>
      </c>
    </row>
    <row r="2" ht="21" customHeight="1">
      <c r="A2" s="2" t="inlineStr">
        <is>
          <t>Bộ môn CF, Trường Đại học FPT Thành phố Hồ Chí Minh, môn PRJ301</t>
        </is>
      </c>
    </row>
    <row r="4" ht="21" customHeight="1">
      <c r="A4" s="3" t="inlineStr">
        <is>
          <t>1. Testing</t>
        </is>
      </c>
    </row>
    <row r="5" ht="26" customHeight="1">
      <c r="A5" s="2" t="n"/>
    </row>
    <row r="6" ht="26" customHeight="1">
      <c r="A6" s="2" t="inlineStr">
        <is>
          <t>Tên đầy đủ là kiểm thử chấp nhận người dùng. Tiếng Anh gọi là User Acceptance Testing, viết tắt UAT.</t>
        </is>
      </c>
    </row>
    <row r="7" ht="40" customHeight="1">
      <c r="A7" s="2" t="n"/>
    </row>
    <row r="8" ht="26" customHeight="1">
      <c r="A8" s="2" t="inlineStr">
        <is>
          <t>Cách làm bên trong gọi là kiểm thử khả dụng. Nhóm giao cho người dùng một mục tiêu, không chỉ cách bấm, rồi ngồi im nhìn.</t>
        </is>
      </c>
    </row>
    <row r="9" ht="26" customHeight="1">
      <c r="A9" s="2" t="inlineStr">
        <is>
          <t>Phần thiết bị cũng có tên riêng, gọi là nghiệm thu tại chỗ. Nhóm xem người dùng lắp cảm biến, hiệu chuẩn và đọc số có đúng không.</t>
        </is>
      </c>
    </row>
    <row r="10" ht="26" customHeight="1">
      <c r="A10" s="2" t="inlineStr">
        <is>
          <t>Nếu nhóm làm theo lối Agile thì buổi này nằm trong phần việc phải xong của một sprint, và đem ra trình bày ở buổi họp cuối sprint.</t>
        </is>
      </c>
    </row>
    <row r="12" ht="21" customHeight="1">
      <c r="A12" s="3" t="inlineStr">
        <is>
          <t>2. Buổi này đo ba thứ</t>
        </is>
      </c>
    </row>
    <row r="13" ht="30" customHeight="1">
      <c r="A13" s="4" t="inlineStr">
        <is>
          <t>STT</t>
        </is>
      </c>
      <c r="B13" s="4" t="inlineStr">
        <is>
          <t>Đo cái gì</t>
        </is>
      </c>
      <c r="C13" s="4" t="inlineStr">
        <is>
          <t>Nghĩa là</t>
        </is>
      </c>
      <c r="D13" s="4" t="inlineStr">
        <is>
          <t>Ghi ở sheet nào</t>
        </is>
      </c>
    </row>
    <row r="14" ht="35" customHeight="1">
      <c r="A14" s="5" t="n">
        <v>1</v>
      </c>
      <c r="B14" s="6" t="inlineStr">
        <is>
          <t>Làm xong được không</t>
        </is>
      </c>
      <c r="C14" s="7" t="inlineStr">
        <is>
          <t>Người dùng có làm xong việc hay không</t>
        </is>
      </c>
      <c r="D14" s="7" t="inlineStr">
        <is>
          <t>Cột Làm được không, ba sheet tác vụ</t>
        </is>
      </c>
    </row>
    <row r="15" ht="35" customHeight="1">
      <c r="A15" s="5" t="n">
        <v>2</v>
      </c>
      <c r="B15" s="6" t="inlineStr">
        <is>
          <t>Mất bao lâu</t>
        </is>
      </c>
      <c r="C15" s="7" t="inlineStr">
        <is>
          <t>Làm xong mất mấy giây, bấm sai mấy lần</t>
        </is>
      </c>
      <c r="D15" s="7" t="inlineStr">
        <is>
          <t>Cột Thời gian và cột Số lần bấm sai</t>
        </is>
      </c>
    </row>
    <row r="16" ht="35" customHeight="1">
      <c r="A16" s="5" t="n">
        <v>3</v>
      </c>
      <c r="B16" s="6" t="inlineStr">
        <is>
          <t>Thấy thế nào</t>
        </is>
      </c>
      <c r="C16" s="7" t="inlineStr">
        <is>
          <t>Dùng xong người ta thấy dễ hay khó</t>
        </is>
      </c>
      <c r="D16" s="7" t="inlineStr">
        <is>
          <t>Sheet SUS, mười câu hỏi</t>
        </is>
      </c>
    </row>
    <row r="18" ht="30" customHeight="1">
      <c r="A18" s="2" t="inlineStr">
        <is>
          <t>Ba thứ này lấy theo tiêu chuẩn ISO 9241-11 năm 2018, tên đầy đủ là Ergonomics of human-system interaction, Part 11, Usability, definitions and concepts.</t>
        </is>
      </c>
    </row>
    <row r="20" ht="21" customHeight="1">
      <c r="A20" s="3" t="inlineStr">
        <is>
          <t>3. Cách chạy một buổi</t>
        </is>
      </c>
    </row>
    <row r="21" ht="30" customHeight="1">
      <c r="A21" s="4" t="inlineStr">
        <is>
          <t>STT</t>
        </is>
      </c>
      <c r="B21" s="4" t="inlineStr">
        <is>
          <t>Việc</t>
        </is>
      </c>
      <c r="C21" s="4" t="inlineStr">
        <is>
          <t>Làm thế nào</t>
        </is>
      </c>
      <c r="D21" s="4" t="inlineStr">
        <is>
          <t>Vì sao</t>
        </is>
      </c>
    </row>
    <row r="22" ht="63" customHeight="1">
      <c r="A22" s="5" t="n">
        <v>1</v>
      </c>
      <c r="B22" s="6" t="inlineStr">
        <is>
          <t>Mời bao nhiêu người</t>
        </is>
      </c>
      <c r="C22" s="7" t="inlineStr">
        <is>
          <t>Năm người một vòng, nên chạy hai vòng</t>
        </is>
      </c>
      <c r="D22" s="7" t="inlineStr">
        <is>
          <t>Năm người đã lộ ra phần lớn chỗ vướng. Sửa xong rồi mời năm người mới thì có lợi hơn mời hai mươi người một lượt</t>
        </is>
      </c>
    </row>
    <row r="23" ht="40" customHeight="1">
      <c r="A23" s="5" t="n">
        <v>2</v>
      </c>
      <c r="B23" s="6" t="inlineStr">
        <is>
          <t>Mời ai</t>
        </is>
      </c>
      <c r="C23" s="7" t="inlineStr">
        <is>
          <t>Người ngoài nhóm, chưa từng thấy ứng dụng</t>
        </is>
      </c>
      <c r="D23" s="7" t="inlineStr">
        <is>
          <t>Người trong nhóm đã thuộc đường, nên không còn vướng ở đâu nữa</t>
        </is>
      </c>
    </row>
    <row r="24" ht="40" customHeight="1">
      <c r="A24" s="5" t="n">
        <v>3</v>
      </c>
      <c r="B24" s="6" t="inlineStr">
        <is>
          <t>Bao lâu một người</t>
        </is>
      </c>
      <c r="C24" s="7" t="inlineStr">
        <is>
          <t>Ba mươi tới bốn mươi lăm phút</t>
        </is>
      </c>
      <c r="D24" s="7" t="inlineStr">
        <is>
          <t>Lâu hơn thì người ta mệt, số liệu không còn đúng</t>
        </is>
      </c>
    </row>
    <row r="25" ht="40" customHeight="1">
      <c r="A25" s="5" t="n">
        <v>4</v>
      </c>
      <c r="B25" s="6" t="inlineStr">
        <is>
          <t>Ai làm gì</t>
        </is>
      </c>
      <c r="C25" s="7" t="inlineStr">
        <is>
          <t>Một bạn dẫn, một bạn bấm giờ và ghi, còn lại ngồi im</t>
        </is>
      </c>
      <c r="D25" s="7" t="inlineStr">
        <is>
          <t>Hai người cùng nói thì người dùng rối</t>
        </is>
      </c>
    </row>
    <row r="26" ht="63" customHeight="1">
      <c r="A26" s="5" t="n">
        <v>5</v>
      </c>
      <c r="B26" s="6" t="inlineStr">
        <is>
          <t>Luật quan trọng nhất</t>
        </is>
      </c>
      <c r="C26" s="7" t="inlineStr">
        <is>
          <t>Không chỉ cách bấm, không làm hộ, không chữa</t>
        </is>
      </c>
      <c r="D26" s="7" t="inlineStr">
        <is>
          <t>Mỗi lần nhắc là mất một chỗ vướng. Chỉ gợi ý khi người dùng loay hoay quá hai phút, và phải ghi lại là có gợi ý</t>
        </is>
      </c>
    </row>
    <row r="27" ht="40" customHeight="1">
      <c r="A27" s="5" t="n">
        <v>6</v>
      </c>
      <c r="B27" s="6" t="inlineStr">
        <is>
          <t>Nhờ nói to</t>
        </is>
      </c>
      <c r="C27" s="7" t="inlineStr">
        <is>
          <t>Nhờ người dùng vừa làm vừa kể đang nghĩ gì</t>
        </is>
      </c>
      <c r="D27" s="7" t="inlineStr">
        <is>
          <t>Biết họ nghĩ gì mới sửa đúng chỗ</t>
        </is>
      </c>
    </row>
    <row r="28" ht="40" customHeight="1">
      <c r="A28" s="5" t="n">
        <v>7</v>
      </c>
      <c r="B28" s="6" t="inlineStr">
        <is>
          <t>Quay lại</t>
        </is>
      </c>
      <c r="C28" s="7" t="inlineStr">
        <is>
          <t>Xin phép rồi quay màn hình</t>
        </is>
      </c>
      <c r="D28" s="7" t="inlineStr">
        <is>
          <t>Lúc viết báo cáo không ai nhớ hết</t>
        </is>
      </c>
    </row>
    <row r="29" ht="40" customHeight="1">
      <c r="A29" s="5" t="n">
        <v>8</v>
      </c>
      <c r="B29" s="6" t="inlineStr">
        <is>
          <t>Nói trước khi bắt đầu</t>
        </is>
      </c>
      <c r="C29" s="7" t="inlineStr">
        <is>
          <t>Nói rõ là thử phần mềm, không thử người dùng</t>
        </is>
      </c>
      <c r="D29" s="7" t="inlineStr">
        <is>
          <t>Ai tưởng mình bị chấm điểm thì ngại nói ra chỗ khó</t>
        </is>
      </c>
    </row>
    <row r="31" ht="21" customHeight="1">
      <c r="A31" s="3" t="inlineStr">
        <is>
          <t>4. Chuẩn bị trước buổi</t>
        </is>
      </c>
    </row>
    <row r="32" ht="30" customHeight="1">
      <c r="A32" s="4" t="inlineStr">
        <is>
          <t>STT</t>
        </is>
      </c>
      <c r="B32" s="4" t="inlineStr">
        <is>
          <t>Phải có sẵn</t>
        </is>
      </c>
      <c r="C32" s="4" t="inlineStr">
        <is>
          <t>Xong chưa</t>
        </is>
      </c>
      <c r="D32" s="4" t="inlineStr">
        <is>
          <t>Ghi chú</t>
        </is>
      </c>
    </row>
    <row r="33" ht="35" customHeight="1">
      <c r="A33" s="5" t="n">
        <v>1</v>
      </c>
      <c r="B33" s="7" t="inlineStr">
        <is>
          <t>Hệ thống chạy được, đã nạp đủ ba tệp SQL</t>
        </is>
      </c>
      <c r="C33" s="7" t="inlineStr">
        <is>
          <t>Đã xong</t>
        </is>
      </c>
      <c r="D33" s="7" t="inlineStr">
        <is>
          <t>Hệ thống Tomcat 9 chạy ổn định, nạp đủ 17 bảng CSDL và dữ liệu mẫu đầy đủ</t>
        </is>
      </c>
    </row>
    <row r="34" ht="35" customHeight="1">
      <c r="A34" s="5" t="n">
        <v>2</v>
      </c>
      <c r="B34" s="7" t="inlineStr">
        <is>
          <t>Một hộp thật có đất ẩm và đầu dò đã cắm</t>
        </is>
      </c>
      <c r="C34" s="7" t="inlineStr">
        <is>
          <t>Đã xong</t>
        </is>
      </c>
      <c r="D34" s="7" t="inlineStr">
        <is>
          <t>Mô hình 2 chậu cây (BOX-A đất ẩm 68%, BOX-B đất khô 35%) cắm đầu dò ESP32</t>
        </is>
      </c>
    </row>
    <row r="35" ht="49" customHeight="1">
      <c r="A35" s="5" t="n">
        <v>3</v>
      </c>
      <c r="B35" s="7" t="inlineStr">
        <is>
          <t>Bốn tài khoản, có ít nhất một Operator và một Keeper</t>
        </is>
      </c>
      <c r="C35" s="7" t="inlineStr">
        <is>
          <t>Đã xong</t>
        </is>
      </c>
      <c r="D35" s="7" t="inlineStr">
        <is>
          <t>Tạo đủ 5 tài khoản mẫu: admin, manager (Keeper), tech, staff (Operator), viewer</t>
        </is>
      </c>
    </row>
    <row r="36" ht="49" customHeight="1">
      <c r="A36" s="5" t="n">
        <v>4</v>
      </c>
      <c r="B36" s="7" t="inlineStr">
        <is>
          <t>Điện thoại cùng mạng với máy chủ, mở sẵn trang đăng nhập</t>
        </is>
      </c>
      <c r="C36" s="7" t="inlineStr">
        <is>
          <t>Đã xong</t>
        </is>
      </c>
      <c r="D36" s="7" t="inlineStr">
        <is>
          <t>Điện thoại kết nối chung Wi-Fi lab, mở sẵn http://192.168.1.15:8080/SmartIrrigation/login</t>
        </is>
      </c>
    </row>
    <row r="37" ht="35" customHeight="1">
      <c r="A37" s="5" t="n">
        <v>5</v>
      </c>
      <c r="B37" s="7" t="inlineStr">
        <is>
          <t>Laptop mở sẵn trình duyệt, chưa đăng nhập</t>
        </is>
      </c>
      <c r="C37" s="7" t="inlineStr">
        <is>
          <t>Đã xong</t>
        </is>
      </c>
      <c r="D37" s="7" t="inlineStr">
        <is>
          <t>Laptop mở sẵn trình duyệt Chrome ở trang đăng nhập</t>
        </is>
      </c>
    </row>
    <row r="38" ht="35" customHeight="1">
      <c r="A38" s="5" t="n">
        <v>6</v>
      </c>
      <c r="B38" s="7" t="inlineStr">
        <is>
          <t>Đồng hồ bấm giây và một tờ giấy nháp</t>
        </is>
      </c>
      <c r="C38" s="7" t="inlineStr">
        <is>
          <t>Đã xong</t>
        </is>
      </c>
      <c r="D38" s="7" t="inlineStr">
        <is>
          <t>Sử dụng đồng hồ bấm giây trên iPhone và sổ ghi chép nhật ký tester</t>
        </is>
      </c>
    </row>
    <row r="39" ht="35" customHeight="1">
      <c r="A39" s="5" t="n">
        <v>7</v>
      </c>
      <c r="B39" s="7" t="inlineStr">
        <is>
          <t>In sẵn các thẻ vai ở sheet DongVai</t>
        </is>
      </c>
      <c r="C39" s="7" t="inlineStr">
        <is>
          <t>Đã xong</t>
        </is>
      </c>
      <c r="D39" s="7" t="inlineStr">
        <is>
          <t>Đã in sẵn 4 thẻ vai ra giấy A5 cho người dùng đọc trước khi bắt đầu</t>
        </is>
      </c>
    </row>
    <row r="40" ht="35" customHeight="1">
      <c r="A40" s="5" t="n">
        <v>8</v>
      </c>
      <c r="B40" s="7" t="inlineStr">
        <is>
          <t>Tệp này mở sẵn để điền ngay trong lúc nhìn</t>
        </is>
      </c>
      <c r="C40" s="7" t="inlineStr">
        <is>
          <t>Đã xong</t>
        </is>
      </c>
      <c r="D40" s="7" t="inlineStr">
        <is>
          <t>Tệp Excel mở sẵn trên laptop thứ hai để quan sát viên nhập liệu trực tiếp</t>
        </is>
      </c>
    </row>
    <row r="42" ht="21" customHeight="1">
      <c r="A42" s="3" t="inlineStr">
        <is>
          <t>5. Các sheet trong tệp này</t>
        </is>
      </c>
    </row>
    <row r="43" ht="30" customHeight="1">
      <c r="A43" s="4" t="inlineStr">
        <is>
          <t>STT</t>
        </is>
      </c>
      <c r="B43" s="4" t="inlineStr">
        <is>
          <t>Sheet</t>
        </is>
      </c>
      <c r="C43" s="4" t="inlineStr">
        <is>
          <t>Dùng khi nào</t>
        </is>
      </c>
    </row>
    <row r="44" ht="35" customHeight="1">
      <c r="A44" s="5" t="n">
        <v>1</v>
      </c>
      <c r="B44" s="6" t="inlineStr">
        <is>
          <t>DongVai</t>
        </is>
      </c>
      <c r="C44" s="7" t="inlineStr">
        <is>
          <t>Đọc trước buổi. Mỗi người dùng nhận một thẻ vai</t>
        </is>
      </c>
    </row>
    <row r="45" ht="22" customHeight="1">
      <c r="A45" s="5" t="n">
        <v>2</v>
      </c>
      <c r="B45" s="6" t="inlineStr">
        <is>
          <t>ThongTinBuoi</t>
        </is>
      </c>
      <c r="C45" s="7" t="inlineStr">
        <is>
          <t>Điền đầu buổi</t>
        </is>
      </c>
    </row>
    <row r="46" ht="35" customHeight="1">
      <c r="A46" s="5" t="n">
        <v>3</v>
      </c>
      <c r="B46" s="6" t="inlineStr">
        <is>
          <t>TacVu_DienThoai</t>
        </is>
      </c>
      <c r="C46" s="7" t="inlineStr">
        <is>
          <t>Điền lúc người dùng cầm điện thoại</t>
        </is>
      </c>
    </row>
    <row r="47" ht="22" customHeight="1">
      <c r="A47" s="5" t="n">
        <v>4</v>
      </c>
      <c r="B47" s="6" t="inlineStr">
        <is>
          <t>TacVu_Laptop</t>
        </is>
      </c>
      <c r="C47" s="7" t="inlineStr">
        <is>
          <t>Điền lúc người dùng ngồi laptop</t>
        </is>
      </c>
    </row>
    <row r="48" ht="35" customHeight="1">
      <c r="A48" s="5" t="n">
        <v>5</v>
      </c>
      <c r="B48" s="6" t="inlineStr">
        <is>
          <t>TacVu_ThietBi</t>
        </is>
      </c>
      <c r="C48" s="7" t="inlineStr">
        <is>
          <t>Điền lúc người dùng đứng cạnh hộp</t>
        </is>
      </c>
    </row>
    <row r="49" ht="35" customHeight="1">
      <c r="A49" s="5" t="n">
        <v>6</v>
      </c>
      <c r="B49" s="6" t="inlineStr">
        <is>
          <t>SUS</t>
        </is>
      </c>
      <c r="C49" s="7" t="inlineStr">
        <is>
          <t>Đưa người dùng tự chấm ngay sau khi làm xong</t>
        </is>
      </c>
    </row>
    <row r="50" ht="35" customHeight="1">
      <c r="A50" s="5" t="n">
        <v>7</v>
      </c>
      <c r="B50" s="6" t="inlineStr">
        <is>
          <t>NhatKyLoi</t>
        </is>
      </c>
      <c r="C50" s="7" t="inlineStr">
        <is>
          <t>Ghi ngay mỗi khi thấy một chỗ vướng</t>
        </is>
      </c>
    </row>
    <row r="51" ht="35" customHeight="1">
      <c r="A51" s="5" t="n">
        <v>8</v>
      </c>
      <c r="B51" s="6" t="inlineStr">
        <is>
          <t>SoatVaiTro</t>
        </is>
      </c>
      <c r="C51" s="7" t="inlineStr">
        <is>
          <t>Nhóm tự soát sau buổi, không cần người dùng</t>
        </is>
      </c>
    </row>
    <row r="52" ht="35" customHeight="1">
      <c r="A52" s="5" t="n">
        <v>9</v>
      </c>
      <c r="B52" s="6" t="inlineStr">
        <is>
          <t>GiaTriThat</t>
        </is>
      </c>
      <c r="C52" s="7" t="inlineStr">
        <is>
          <t>Đo xem ứng dụng tiết kiệm được bao nhiêu thời gian</t>
        </is>
      </c>
    </row>
    <row r="53" ht="35" customHeight="1">
      <c r="A53" s="5" t="n">
        <v>10</v>
      </c>
      <c r="B53" s="6" t="inlineStr">
        <is>
          <t>TongHop</t>
        </is>
      </c>
      <c r="C53" s="7" t="inlineStr">
        <is>
          <t>Điền sau buổi, phần lớn ô tự tính</t>
        </is>
      </c>
    </row>
    <row r="54" ht="22" customHeight="1">
      <c r="A54" s="5" t="n">
        <v>11</v>
      </c>
      <c r="B54" s="6" t="inlineStr">
        <is>
          <t>NopBai</t>
        </is>
      </c>
      <c r="C54" s="7" t="inlineStr">
        <is>
          <t>Soát lại trước khi nộp</t>
        </is>
      </c>
    </row>
  </sheetData>
  <mergeCells count="14">
    <mergeCell ref="A9:H9"/>
    <mergeCell ref="A4:H4"/>
    <mergeCell ref="A12:H12"/>
    <mergeCell ref="A18:H18"/>
    <mergeCell ref="A8:H8"/>
    <mergeCell ref="A5:H5"/>
    <mergeCell ref="A7:H7"/>
    <mergeCell ref="A20:H20"/>
    <mergeCell ref="A2:H2"/>
    <mergeCell ref="A10:H10"/>
    <mergeCell ref="A42:H42"/>
    <mergeCell ref="A1:H1"/>
    <mergeCell ref="A31:H31"/>
    <mergeCell ref="A6:H6"/>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1" summaryRight="1" showOutlineSymbols="1"/>
    <pageSetUpPr autoPageBreaks="1" fitToPage="1"/>
  </sheetPr>
  <dimension ref="A1:H42"/>
  <sheetViews>
    <sheetView zoomScale="100" workbookViewId="0">
      <pane ySplit="3" topLeftCell="A4" activePane="bottomLeft" state="frozen"/>
      <selection activeCell="A1" activeCellId="0" sqref="A1"/>
    </sheetView>
  </sheetViews>
  <sheetFormatPr baseColWidth="8" defaultRowHeight="15"/>
  <cols>
    <col width="4" customWidth="1" min="1" max="1"/>
    <col width="22" customWidth="1" min="2" max="2"/>
    <col width="40" customWidth="1" min="3" max="4"/>
    <col width="22" customWidth="1" min="5" max="5"/>
    <col width="14" customWidth="1" min="6" max="8"/>
  </cols>
  <sheetData>
    <row r="1" ht="21" customHeight="1">
      <c r="A1" s="8" t="inlineStr">
        <is>
          <t>THẺ VAI, IN RA VÀ ĐƯA CHO NGƯỜI DÙNG</t>
        </is>
      </c>
    </row>
    <row r="3" ht="44" customHeight="1">
      <c r="A3" s="2" t="inlineStr">
        <is>
          <t>Người dùng không đọc tài liệu hệ thống. Họ chỉ đọc thẻ vai của mình, rồi làm như người thật trong vai đó. Nhờ vậy nhóm thấy được hệ thống có hợp với công việc thật hay không, chứ không chỉ thấy nút bấm có chạy hay không.</t>
        </is>
      </c>
    </row>
    <row r="4" ht="21" customHeight="1">
      <c r="A4" s="2" t="inlineStr">
        <is>
          <t>In mỗi thẻ ra một tờ. Đừng đọc hộ, để người dùng tự đọc.</t>
        </is>
      </c>
    </row>
    <row r="6" ht="35" customHeight="1">
      <c r="A6" s="4" t="inlineStr">
        <is>
          <t>Vai 1</t>
        </is>
      </c>
      <c r="B6" s="4" t="inlineStr">
        <is>
          <t>Bạn tưới cây</t>
        </is>
      </c>
      <c r="C6" s="9" t="inlineStr">
        <is>
          <t>Thẻ này là của bạn, đọc xong cứ giữ</t>
        </is>
      </c>
      <c r="D6" s="17" t="n"/>
      <c r="E6" s="17" t="n"/>
      <c r="F6" s="17" t="n"/>
      <c r="G6" s="17" t="n"/>
      <c r="H6" s="18" t="n"/>
    </row>
    <row r="7" ht="24" customHeight="1">
      <c r="A7" s="5" t="n"/>
      <c r="B7" s="6" t="inlineStr">
        <is>
          <t>Bạn là ai</t>
        </is>
      </c>
      <c r="C7" s="7" t="inlineStr">
        <is>
          <t>Sinh viên trực phòng lab tuần này</t>
        </is>
      </c>
      <c r="D7" s="17" t="n"/>
      <c r="E7" s="17" t="n"/>
      <c r="F7" s="17" t="n"/>
      <c r="G7" s="17" t="n"/>
      <c r="H7" s="18" t="n"/>
    </row>
    <row r="8" ht="24" customHeight="1">
      <c r="A8" s="5" t="n"/>
      <c r="B8" s="6" t="inlineStr">
        <is>
          <t>Một ngày của bạn</t>
        </is>
      </c>
      <c r="C8" s="7" t="inlineStr">
        <is>
          <t>Sáng ghé phòng mười phút trước giờ học. Chiều tan học ghé lại một lần nữa</t>
        </is>
      </c>
      <c r="D8" s="17" t="n"/>
      <c r="E8" s="17" t="n"/>
      <c r="F8" s="17" t="n"/>
      <c r="G8" s="17" t="n"/>
      <c r="H8" s="18" t="n"/>
    </row>
    <row r="9" ht="24" customHeight="1">
      <c r="A9" s="5" t="n"/>
      <c r="B9" s="6" t="inlineStr">
        <is>
          <t>Bạn phải làm gì</t>
        </is>
      </c>
      <c r="C9" s="7" t="inlineStr">
        <is>
          <t>Xem hộp nào cần tưới, tưới, rồi ghi lại là đã tưới</t>
        </is>
      </c>
      <c r="D9" s="17" t="n"/>
      <c r="E9" s="17" t="n"/>
      <c r="F9" s="17" t="n"/>
      <c r="G9" s="17" t="n"/>
      <c r="H9" s="18" t="n"/>
    </row>
    <row r="10" ht="24" customHeight="1">
      <c r="A10" s="5" t="n"/>
      <c r="B10" s="6" t="inlineStr">
        <is>
          <t>Bạn không quan tâm</t>
        </is>
      </c>
      <c r="C10" s="7" t="inlineStr">
        <is>
          <t>Ngưỡng là bao nhiêu, biểu đồ ra sao, ai chỉnh gì</t>
        </is>
      </c>
      <c r="D10" s="17" t="n"/>
      <c r="E10" s="17" t="n"/>
      <c r="F10" s="17" t="n"/>
      <c r="G10" s="17" t="n"/>
      <c r="H10" s="18" t="n"/>
    </row>
    <row r="11" ht="24" customHeight="1">
      <c r="A11" s="5" t="n"/>
      <c r="B11" s="6" t="inlineStr">
        <is>
          <t>Bạn khó chịu khi</t>
        </is>
      </c>
      <c r="C11" s="7" t="inlineStr">
        <is>
          <t>Phải bấm quá ba lần mới ghi xong một lần tưới</t>
        </is>
      </c>
      <c r="D11" s="17" t="n"/>
      <c r="E11" s="17" t="n"/>
      <c r="F11" s="17" t="n"/>
      <c r="G11" s="17" t="n"/>
      <c r="H11" s="18" t="n"/>
    </row>
    <row r="12" ht="24" customHeight="1">
      <c r="A12" s="5" t="n"/>
      <c r="B12" s="6" t="inlineStr">
        <is>
          <t>Câu bạn hay hỏi</t>
        </is>
      </c>
      <c r="C12" s="7" t="inlineStr">
        <is>
          <t>Hôm nay có phải tưới không</t>
        </is>
      </c>
      <c r="D12" s="17" t="n"/>
      <c r="E12" s="17" t="n"/>
      <c r="F12" s="17" t="n"/>
      <c r="G12" s="17" t="n"/>
      <c r="H12" s="18" t="n"/>
    </row>
    <row r="13" ht="24" customHeight="1">
      <c r="A13" s="5" t="n"/>
      <c r="B13" s="6" t="inlineStr">
        <is>
          <t>Tài khoản</t>
        </is>
      </c>
      <c r="C13" s="7" t="inlineStr">
        <is>
          <t>staff (mật khẩu 123456), vai trò Staff / Operator</t>
        </is>
      </c>
      <c r="D13" s="17" t="n"/>
      <c r="E13" s="17" t="n"/>
      <c r="F13" s="17" t="n"/>
      <c r="G13" s="17" t="n"/>
      <c r="H13" s="18" t="n"/>
    </row>
    <row r="15" ht="35" customHeight="1">
      <c r="A15" s="4" t="inlineStr">
        <is>
          <t>Vai 2</t>
        </is>
      </c>
      <c r="B15" s="4" t="inlineStr">
        <is>
          <t>Bạn phụ trách vườn</t>
        </is>
      </c>
      <c r="C15" s="9" t="inlineStr">
        <is>
          <t>Thẻ này là của bạn, đọc xong cứ giữ</t>
        </is>
      </c>
      <c r="D15" s="17" t="n"/>
      <c r="E15" s="17" t="n"/>
      <c r="F15" s="17" t="n"/>
      <c r="G15" s="17" t="n"/>
      <c r="H15" s="18" t="n"/>
    </row>
    <row r="16" ht="24" customHeight="1">
      <c r="A16" s="5" t="n"/>
      <c r="B16" s="6" t="inlineStr">
        <is>
          <t>Bạn là ai</t>
        </is>
      </c>
      <c r="C16" s="7" t="inlineStr">
        <is>
          <t>Người chịu trách nhiệm cây sống hay chết</t>
        </is>
      </c>
      <c r="D16" s="17" t="n"/>
      <c r="E16" s="17" t="n"/>
      <c r="F16" s="17" t="n"/>
      <c r="G16" s="17" t="n"/>
      <c r="H16" s="18" t="n"/>
    </row>
    <row r="17" ht="24" customHeight="1">
      <c r="A17" s="5" t="n"/>
      <c r="B17" s="6" t="inlineStr">
        <is>
          <t>Một ngày của bạn</t>
        </is>
      </c>
      <c r="C17" s="7" t="inlineStr">
        <is>
          <t>Mở máy một lần buổi sáng. Cuối tuần xem lại cả tuần</t>
        </is>
      </c>
      <c r="D17" s="17" t="n"/>
      <c r="E17" s="17" t="n"/>
      <c r="F17" s="17" t="n"/>
      <c r="G17" s="17" t="n"/>
      <c r="H17" s="18" t="n"/>
    </row>
    <row r="18" ht="24" customHeight="1">
      <c r="A18" s="5" t="n"/>
      <c r="B18" s="6" t="inlineStr">
        <is>
          <t>Bạn phải làm gì</t>
        </is>
      </c>
      <c r="C18" s="7" t="inlineStr">
        <is>
          <t>Xem đêm qua có cảnh báo gì, đã có ai xử lý chưa. Nếu chưa thì nhận việc đó về mình</t>
        </is>
      </c>
      <c r="D18" s="17" t="n"/>
      <c r="E18" s="17" t="n"/>
      <c r="F18" s="17" t="n"/>
      <c r="G18" s="17" t="n"/>
      <c r="H18" s="18" t="n"/>
    </row>
    <row r="19" ht="24" customHeight="1">
      <c r="A19" s="5" t="n"/>
      <c r="B19" s="6" t="inlineStr">
        <is>
          <t>Bạn không quan tâm</t>
        </is>
      </c>
      <c r="C19" s="7" t="inlineStr">
        <is>
          <t>Số giờ còn lại được tính bằng công thức nào</t>
        </is>
      </c>
      <c r="D19" s="17" t="n"/>
      <c r="E19" s="17" t="n"/>
      <c r="F19" s="17" t="n"/>
      <c r="G19" s="17" t="n"/>
      <c r="H19" s="18" t="n"/>
    </row>
    <row r="20" ht="24" customHeight="1">
      <c r="A20" s="5" t="n"/>
      <c r="B20" s="6" t="inlineStr">
        <is>
          <t>Bạn khó chịu khi</t>
        </is>
      </c>
      <c r="C20" s="7" t="inlineStr">
        <is>
          <t>Không biết ai đã làm gì, phải đi hỏi từng người</t>
        </is>
      </c>
      <c r="D20" s="17" t="n"/>
      <c r="E20" s="17" t="n"/>
      <c r="F20" s="17" t="n"/>
      <c r="G20" s="17" t="n"/>
      <c r="H20" s="18" t="n"/>
    </row>
    <row r="21" ht="24" customHeight="1">
      <c r="A21" s="5" t="n"/>
      <c r="B21" s="6" t="inlineStr">
        <is>
          <t>Câu bạn hay hỏi</t>
        </is>
      </c>
      <c r="C21" s="7" t="inlineStr">
        <is>
          <t>Có việc nào đang bỏ ngỏ không</t>
        </is>
      </c>
      <c r="D21" s="17" t="n"/>
      <c r="E21" s="17" t="n"/>
      <c r="F21" s="17" t="n"/>
      <c r="G21" s="17" t="n"/>
      <c r="H21" s="18" t="n"/>
    </row>
    <row r="22" ht="24" customHeight="1">
      <c r="A22" s="5" t="n"/>
      <c r="B22" s="6" t="inlineStr">
        <is>
          <t>Tài khoản</t>
        </is>
      </c>
      <c r="C22" s="7" t="inlineStr">
        <is>
          <t>manager (mật khẩu 123456), vai trò Manager / Keeper</t>
        </is>
      </c>
      <c r="D22" s="17" t="n"/>
      <c r="E22" s="17" t="n"/>
      <c r="F22" s="17" t="n"/>
      <c r="G22" s="17" t="n"/>
      <c r="H22" s="18" t="n"/>
    </row>
    <row r="24" ht="35" customHeight="1">
      <c r="A24" s="4" t="inlineStr">
        <is>
          <t>Vai 3</t>
        </is>
      </c>
      <c r="B24" s="4" t="inlineStr">
        <is>
          <t>Bạn giữ hệ thống</t>
        </is>
      </c>
      <c r="C24" s="9" t="inlineStr">
        <is>
          <t>Thẻ này là của bạn, đọc xong cứ giữ</t>
        </is>
      </c>
      <c r="D24" s="17" t="n"/>
      <c r="E24" s="17" t="n"/>
      <c r="F24" s="17" t="n"/>
      <c r="G24" s="17" t="n"/>
      <c r="H24" s="18" t="n"/>
    </row>
    <row r="25" ht="24" customHeight="1">
      <c r="A25" s="5" t="n"/>
      <c r="B25" s="6" t="inlineStr">
        <is>
          <t>Bạn là ai</t>
        </is>
      </c>
      <c r="C25" s="7" t="inlineStr">
        <is>
          <t>Người lo cho hệ thống chạy được</t>
        </is>
      </c>
      <c r="D25" s="17" t="n"/>
      <c r="E25" s="17" t="n"/>
      <c r="F25" s="17" t="n"/>
      <c r="G25" s="17" t="n"/>
      <c r="H25" s="18" t="n"/>
    </row>
    <row r="26" ht="24" customHeight="1">
      <c r="A26" s="5" t="n"/>
      <c r="B26" s="6" t="inlineStr">
        <is>
          <t>Một ngày của bạn</t>
        </is>
      </c>
      <c r="C26" s="7" t="inlineStr">
        <is>
          <t>Chỉ mở máy khi có người báo hỏng</t>
        </is>
      </c>
      <c r="D26" s="17" t="n"/>
      <c r="E26" s="17" t="n"/>
      <c r="F26" s="17" t="n"/>
      <c r="G26" s="17" t="n"/>
      <c r="H26" s="18" t="n"/>
    </row>
    <row r="27" ht="24" customHeight="1">
      <c r="A27" s="5" t="n"/>
      <c r="B27" s="6" t="inlineStr">
        <is>
          <t>Bạn phải làm gì</t>
        </is>
      </c>
      <c r="C27" s="7" t="inlineStr">
        <is>
          <t>Thêm một hộp mới, cấp một tài khoản mới, xem hệ thống có chậm không</t>
        </is>
      </c>
      <c r="D27" s="17" t="n"/>
      <c r="E27" s="17" t="n"/>
      <c r="F27" s="17" t="n"/>
      <c r="G27" s="17" t="n"/>
      <c r="H27" s="18" t="n"/>
    </row>
    <row r="28" ht="24" customHeight="1">
      <c r="A28" s="5" t="n"/>
      <c r="B28" s="6" t="inlineStr">
        <is>
          <t>Bạn không quan tâm</t>
        </is>
      </c>
      <c r="C28" s="7" t="inlineStr">
        <is>
          <t>Cây sống hay chết</t>
        </is>
      </c>
      <c r="D28" s="17" t="n"/>
      <c r="E28" s="17" t="n"/>
      <c r="F28" s="17" t="n"/>
      <c r="G28" s="17" t="n"/>
      <c r="H28" s="18" t="n"/>
    </row>
    <row r="29" ht="24" customHeight="1">
      <c r="A29" s="5" t="n"/>
      <c r="B29" s="6" t="inlineStr">
        <is>
          <t>Bạn khó chịu khi</t>
        </is>
      </c>
      <c r="C29" s="7" t="inlineStr">
        <is>
          <t>Phải mở cơ sở dữ liệu lên sửa bằng tay</t>
        </is>
      </c>
      <c r="D29" s="17" t="n"/>
      <c r="E29" s="17" t="n"/>
      <c r="F29" s="17" t="n"/>
      <c r="G29" s="17" t="n"/>
      <c r="H29" s="18" t="n"/>
    </row>
    <row r="30" ht="24" customHeight="1">
      <c r="A30" s="5" t="n"/>
      <c r="B30" s="6" t="inlineStr">
        <is>
          <t>Câu bạn hay hỏi</t>
        </is>
      </c>
      <c r="C30" s="7" t="inlineStr">
        <is>
          <t>Hệ thống có đang khoẻ không</t>
        </is>
      </c>
      <c r="D30" s="17" t="n"/>
      <c r="E30" s="17" t="n"/>
      <c r="F30" s="17" t="n"/>
      <c r="G30" s="17" t="n"/>
      <c r="H30" s="18" t="n"/>
    </row>
    <row r="31" ht="24" customHeight="1">
      <c r="A31" s="5" t="n"/>
      <c r="B31" s="6" t="inlineStr">
        <is>
          <t>Tài khoản</t>
        </is>
      </c>
      <c r="C31" s="7" t="inlineStr">
        <is>
          <t>admin (mật khẩu 123456), vai trò Admin / Technician</t>
        </is>
      </c>
      <c r="D31" s="17" t="n"/>
      <c r="E31" s="17" t="n"/>
      <c r="F31" s="17" t="n"/>
      <c r="G31" s="17" t="n"/>
      <c r="H31" s="18" t="n"/>
    </row>
    <row r="33" ht="35" customHeight="1">
      <c r="A33" s="4" t="inlineStr">
        <is>
          <t>Vai 4</t>
        </is>
      </c>
      <c r="B33" s="4" t="inlineStr">
        <is>
          <t>Bạn mới nhìn thấy lần đầu</t>
        </is>
      </c>
      <c r="C33" s="9" t="inlineStr">
        <is>
          <t>Thẻ này là của bạn, đọc xong cứ giữ</t>
        </is>
      </c>
      <c r="D33" s="17" t="n"/>
      <c r="E33" s="17" t="n"/>
      <c r="F33" s="17" t="n"/>
      <c r="G33" s="17" t="n"/>
      <c r="H33" s="18" t="n"/>
    </row>
    <row r="34" ht="24" customHeight="1">
      <c r="A34" s="5" t="n"/>
      <c r="B34" s="6" t="inlineStr">
        <is>
          <t>Bạn là ai</t>
        </is>
      </c>
      <c r="C34" s="7" t="inlineStr">
        <is>
          <t>Khách ghé qua phòng lab, chưa biết gì về đề tài này</t>
        </is>
      </c>
      <c r="D34" s="17" t="n"/>
      <c r="E34" s="17" t="n"/>
      <c r="F34" s="17" t="n"/>
      <c r="G34" s="17" t="n"/>
      <c r="H34" s="18" t="n"/>
    </row>
    <row r="35" ht="24" customHeight="1">
      <c r="A35" s="5" t="n"/>
      <c r="B35" s="6" t="inlineStr">
        <is>
          <t>Một ngày của bạn</t>
        </is>
      </c>
      <c r="C35" s="7" t="inlineStr">
        <is>
          <t>Bạn chỉ có năm phút</t>
        </is>
      </c>
      <c r="D35" s="17" t="n"/>
      <c r="E35" s="17" t="n"/>
      <c r="F35" s="17" t="n"/>
      <c r="G35" s="17" t="n"/>
      <c r="H35" s="18" t="n"/>
    </row>
    <row r="36" ht="24" customHeight="1">
      <c r="A36" s="5" t="n"/>
      <c r="B36" s="6" t="inlineStr">
        <is>
          <t>Bạn phải làm gì</t>
        </is>
      </c>
      <c r="C36" s="7" t="inlineStr">
        <is>
          <t>Nhìn màn hình và đoán xem hệ thống này làm gì. Nói to những gì bạn đoán</t>
        </is>
      </c>
      <c r="D36" s="17" t="n"/>
      <c r="E36" s="17" t="n"/>
      <c r="F36" s="17" t="n"/>
      <c r="G36" s="17" t="n"/>
      <c r="H36" s="18" t="n"/>
    </row>
    <row r="37" ht="24" customHeight="1">
      <c r="A37" s="5" t="n"/>
      <c r="B37" s="6" t="inlineStr">
        <is>
          <t>Bạn không quan tâm</t>
        </is>
      </c>
      <c r="C37" s="7" t="inlineStr">
        <is>
          <t>Mọi thứ khác</t>
        </is>
      </c>
      <c r="D37" s="17" t="n"/>
      <c r="E37" s="17" t="n"/>
      <c r="F37" s="17" t="n"/>
      <c r="G37" s="17" t="n"/>
      <c r="H37" s="18" t="n"/>
    </row>
    <row r="38" ht="24" customHeight="1">
      <c r="A38" s="5" t="n"/>
      <c r="B38" s="6" t="inlineStr">
        <is>
          <t>Bạn khó chịu khi</t>
        </is>
      </c>
      <c r="C38" s="7" t="inlineStr">
        <is>
          <t>Nhìn một phút mà vẫn không hiểu đang xem cái gì</t>
        </is>
      </c>
      <c r="D38" s="17" t="n"/>
      <c r="E38" s="17" t="n"/>
      <c r="F38" s="17" t="n"/>
      <c r="G38" s="17" t="n"/>
      <c r="H38" s="18" t="n"/>
    </row>
    <row r="39" ht="24" customHeight="1">
      <c r="A39" s="5" t="n"/>
      <c r="B39" s="6" t="inlineStr">
        <is>
          <t>Câu bạn hay hỏi</t>
        </is>
      </c>
      <c r="C39" s="7" t="inlineStr">
        <is>
          <t>Cái này để làm gì</t>
        </is>
      </c>
      <c r="D39" s="17" t="n"/>
      <c r="E39" s="17" t="n"/>
      <c r="F39" s="17" t="n"/>
      <c r="G39" s="17" t="n"/>
      <c r="H39" s="18" t="n"/>
    </row>
    <row r="40" ht="24" customHeight="1">
      <c r="A40" s="5" t="n"/>
      <c r="B40" s="6" t="inlineStr">
        <is>
          <t>Tài khoản</t>
        </is>
      </c>
      <c r="C40" s="7" t="inlineStr">
        <is>
          <t>viewer (mật khẩu 123456), vai trò Viewer / Operator</t>
        </is>
      </c>
      <c r="D40" s="17" t="n"/>
      <c r="E40" s="17" t="n"/>
      <c r="F40" s="17" t="n"/>
      <c r="G40" s="17" t="n"/>
      <c r="H40" s="18" t="n"/>
    </row>
    <row r="42" ht="30" customHeight="1">
      <c r="A42" s="2" t="inlineStr">
        <is>
          <t>Vai 4 chỉ mất năm phút nhưng hay cho ra chỗ vướng nặng nhất. Người đã quen hệ thống không còn nhìn thấy những chỗ đó nữa.</t>
        </is>
      </c>
    </row>
  </sheetData>
  <mergeCells count="36">
    <mergeCell ref="C25:H25"/>
    <mergeCell ref="C10:H10"/>
    <mergeCell ref="C16:H16"/>
    <mergeCell ref="C22:H22"/>
    <mergeCell ref="C40:H40"/>
    <mergeCell ref="C9:H9"/>
    <mergeCell ref="C31:H31"/>
    <mergeCell ref="A1:H1"/>
    <mergeCell ref="C12:H12"/>
    <mergeCell ref="C21:H21"/>
    <mergeCell ref="C11:H11"/>
    <mergeCell ref="C36:H36"/>
    <mergeCell ref="C27:H27"/>
    <mergeCell ref="C39:H39"/>
    <mergeCell ref="C8:H8"/>
    <mergeCell ref="C17:H17"/>
    <mergeCell ref="C7:H7"/>
    <mergeCell ref="A3:H3"/>
    <mergeCell ref="C19:H19"/>
    <mergeCell ref="C38:H38"/>
    <mergeCell ref="C28:H28"/>
    <mergeCell ref="C13:H13"/>
    <mergeCell ref="C37:H37"/>
    <mergeCell ref="A42:H42"/>
    <mergeCell ref="C18:H18"/>
    <mergeCell ref="C34:H34"/>
    <mergeCell ref="C30:H30"/>
    <mergeCell ref="C15:H15"/>
    <mergeCell ref="C33:H33"/>
    <mergeCell ref="A4:H4"/>
    <mergeCell ref="C6:H6"/>
    <mergeCell ref="C24:H24"/>
    <mergeCell ref="C35:H35"/>
    <mergeCell ref="C26:H26"/>
    <mergeCell ref="C29:H29"/>
    <mergeCell ref="C20:H20"/>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1"/>
  </sheetPr>
  <dimension ref="A1:H18"/>
  <sheetViews>
    <sheetView zoomScale="100" workbookViewId="0">
      <pane ySplit="5" topLeftCell="A6" activePane="bottomLeft" state="frozen"/>
      <selection activeCell="A1" activeCellId="0" sqref="A1"/>
    </sheetView>
  </sheetViews>
  <sheetFormatPr baseColWidth="8" defaultRowHeight="15"/>
  <cols>
    <col width="4" customWidth="1" min="1" max="1"/>
    <col width="20" customWidth="1" min="2" max="2"/>
    <col width="22" customWidth="1" min="3" max="5"/>
    <col width="20" customWidth="1" min="6" max="6"/>
    <col width="22" customWidth="1" min="7" max="7"/>
    <col width="18" customWidth="1" min="8" max="8"/>
  </cols>
  <sheetData>
    <row r="1" ht="21" customHeight="1">
      <c r="A1" s="8" t="inlineStr">
        <is>
          <t>THÔNG TIN BUỔI THỬ</t>
        </is>
      </c>
    </row>
    <row r="3" ht="28" customHeight="1">
      <c r="A3" s="2" t="inlineStr">
        <is>
          <t>Mỗi người dùng một dòng. Đặt mã là P1 tới P5 và dùng lại đúng mã đó ở mọi sheet khác, để sau này dò ngược được.</t>
        </is>
      </c>
    </row>
    <row r="5" ht="30" customHeight="1">
      <c r="A5" s="4" t="inlineStr">
        <is>
          <t>STT</t>
        </is>
      </c>
      <c r="B5" s="4" t="inlineStr">
        <is>
          <t>Mã người dùng</t>
        </is>
      </c>
      <c r="C5" s="4" t="inlineStr">
        <is>
          <t>Đóng vai nào</t>
        </is>
      </c>
      <c r="D5" s="4" t="inlineStr">
        <is>
          <t>Ngày và giờ</t>
        </is>
      </c>
      <c r="E5" s="4" t="inlineStr">
        <is>
          <t>Bạn nào dẫn</t>
        </is>
      </c>
      <c r="F5" s="4" t="inlineStr">
        <is>
          <t>Bạn nào ghi</t>
        </is>
      </c>
      <c r="G5" s="4" t="inlineStr">
        <is>
          <t>Điện thoại dùng gì</t>
        </is>
      </c>
      <c r="H5" s="4" t="inlineStr">
        <is>
          <t>Trình duyệt gì</t>
        </is>
      </c>
    </row>
    <row r="6" ht="22" customHeight="1">
      <c r="A6" s="5" t="n">
        <v>1</v>
      </c>
      <c r="B6" s="7" t="inlineStr">
        <is>
          <t>P1</t>
        </is>
      </c>
      <c r="C6" s="7" t="inlineStr">
        <is>
          <t>Vai 1 - Bạn tưới cây (Staff / Operator)</t>
        </is>
      </c>
      <c r="D6" s="7" t="inlineStr">
        <is>
          <t>14/10/2026 09:30</t>
        </is>
      </c>
      <c r="E6" s="7" t="inlineStr">
        <is>
          <t>Lê Văn Ngoan</t>
        </is>
      </c>
      <c r="F6" s="7" t="inlineStr">
        <is>
          <t>Phan Duy Bảo</t>
        </is>
      </c>
      <c r="G6" s="7" t="inlineStr">
        <is>
          <t>iPhone 14 (iOS 17)</t>
        </is>
      </c>
      <c r="H6" s="7" t="inlineStr">
        <is>
          <t>Safari</t>
        </is>
      </c>
    </row>
    <row r="7" ht="22" customHeight="1">
      <c r="A7" s="5" t="n">
        <v>2</v>
      </c>
      <c r="B7" s="7" t="inlineStr">
        <is>
          <t>P2</t>
        </is>
      </c>
      <c r="C7" s="7" t="inlineStr">
        <is>
          <t>Vai 2 - Bạn phụ trách vườn (Manager / Keeper)</t>
        </is>
      </c>
      <c r="D7" s="7" t="inlineStr">
        <is>
          <t>14/10/2026 10:15</t>
        </is>
      </c>
      <c r="E7" s="7" t="inlineStr">
        <is>
          <t>Nguyễn Ngọc Linh</t>
        </is>
      </c>
      <c r="F7" s="7" t="inlineStr">
        <is>
          <t>Phan Duy Bảo</t>
        </is>
      </c>
      <c r="G7" s="7" t="inlineStr">
        <is>
          <t>Samsung Galaxy S23</t>
        </is>
      </c>
      <c r="H7" s="7" t="inlineStr">
        <is>
          <t>Chrome Mobile</t>
        </is>
      </c>
    </row>
    <row r="8" ht="22" customHeight="1">
      <c r="A8" s="5" t="n">
        <v>3</v>
      </c>
      <c r="B8" s="7" t="inlineStr">
        <is>
          <t>P3</t>
        </is>
      </c>
      <c r="C8" s="7" t="inlineStr">
        <is>
          <t>Vai 3 - Bạn giữ hệ thống (Admin / Tech)</t>
        </is>
      </c>
      <c r="D8" s="7" t="inlineStr">
        <is>
          <t>14/10/2026 14:00</t>
        </is>
      </c>
      <c r="E8" s="7" t="inlineStr">
        <is>
          <t>Lê Văn Ngoan</t>
        </is>
      </c>
      <c r="F8" s="7" t="inlineStr">
        <is>
          <t>Nguyễn Ngọc Linh</t>
        </is>
      </c>
      <c r="G8" s="7" t="inlineStr">
        <is>
          <t>Laptop Dell XPS 13</t>
        </is>
      </c>
      <c r="H8" s="7" t="inlineStr">
        <is>
          <t>Microsoft Edge</t>
        </is>
      </c>
    </row>
    <row r="9" ht="22" customHeight="1">
      <c r="A9" s="5" t="n">
        <v>4</v>
      </c>
      <c r="B9" s="7" t="inlineStr">
        <is>
          <t>P4</t>
        </is>
      </c>
      <c r="C9" s="7" t="inlineStr">
        <is>
          <t>Vai 4 - Bạn mới nhìn lần đầu (Viewer)</t>
        </is>
      </c>
      <c r="D9" s="7" t="inlineStr">
        <is>
          <t>14/10/2026 15:30</t>
        </is>
      </c>
      <c r="E9" s="7" t="inlineStr">
        <is>
          <t>Phan Duy Bảo</t>
        </is>
      </c>
      <c r="F9" s="7" t="inlineStr">
        <is>
          <t>Lê Văn Ngoan</t>
        </is>
      </c>
      <c r="G9" s="7" t="inlineStr">
        <is>
          <t>Xiaomi Redmi Note 12</t>
        </is>
      </c>
      <c r="H9" s="7" t="inlineStr">
        <is>
          <t>Chrome Mobile</t>
        </is>
      </c>
    </row>
    <row r="10" ht="22" customHeight="1">
      <c r="A10" s="5" t="n">
        <v>5</v>
      </c>
      <c r="B10" s="7" t="inlineStr">
        <is>
          <t>P5</t>
        </is>
      </c>
      <c r="C10" s="7" t="inlineStr">
        <is>
          <t>Vai 1 - Bạn tưới cây (Vòng thử lại sau sửa lỗi)</t>
        </is>
      </c>
      <c r="D10" s="7" t="inlineStr">
        <is>
          <t>15/10/2026 09:00</t>
        </is>
      </c>
      <c r="E10" s="7" t="inlineStr">
        <is>
          <t>Nguyễn Ngọc Linh</t>
        </is>
      </c>
      <c r="F10" s="7" t="inlineStr">
        <is>
          <t>Lê Văn Ngoan</t>
        </is>
      </c>
      <c r="G10" s="7" t="inlineStr">
        <is>
          <t>Oppo Reno 8</t>
        </is>
      </c>
      <c r="H10" s="7" t="inlineStr">
        <is>
          <t>Chrome Mobile</t>
        </is>
      </c>
    </row>
    <row r="11" ht="22" customHeight="1">
      <c r="A11" s="5" t="n">
        <v>6</v>
      </c>
      <c r="B11" s="7" t="n"/>
      <c r="C11" s="7" t="n"/>
      <c r="D11" s="7" t="n"/>
      <c r="E11" s="7" t="n"/>
      <c r="F11" s="7" t="n"/>
      <c r="G11" s="7" t="n"/>
      <c r="H11" s="7" t="n"/>
    </row>
    <row r="12" ht="22" customHeight="1">
      <c r="A12" s="5" t="n">
        <v>7</v>
      </c>
      <c r="B12" s="7" t="n"/>
      <c r="C12" s="7" t="n"/>
      <c r="D12" s="7" t="n"/>
      <c r="E12" s="7" t="n"/>
      <c r="F12" s="7" t="n"/>
      <c r="G12" s="7" t="n"/>
      <c r="H12" s="7" t="n"/>
    </row>
    <row r="13" ht="22" customHeight="1">
      <c r="A13" s="5" t="n">
        <v>8</v>
      </c>
      <c r="B13" s="7" t="n"/>
      <c r="C13" s="7" t="n"/>
      <c r="D13" s="7" t="n"/>
      <c r="E13" s="7" t="n"/>
      <c r="F13" s="7" t="n"/>
      <c r="G13" s="7" t="n"/>
      <c r="H13" s="7" t="n"/>
    </row>
    <row r="14" ht="22" customHeight="1">
      <c r="A14" s="5" t="n">
        <v>9</v>
      </c>
      <c r="B14" s="7" t="n"/>
      <c r="C14" s="7" t="n"/>
      <c r="D14" s="7" t="n"/>
      <c r="E14" s="7" t="n"/>
      <c r="F14" s="7" t="n"/>
      <c r="G14" s="7" t="n"/>
      <c r="H14" s="7" t="n"/>
    </row>
    <row r="15" ht="22" customHeight="1">
      <c r="A15" s="5" t="n">
        <v>10</v>
      </c>
      <c r="B15" s="7" t="n"/>
      <c r="C15" s="7" t="n"/>
      <c r="D15" s="7" t="n"/>
      <c r="E15" s="7" t="n"/>
      <c r="F15" s="7" t="n"/>
      <c r="G15" s="7" t="n"/>
      <c r="H15" s="7" t="n"/>
    </row>
    <row r="17" ht="21" customHeight="1">
      <c r="A17" s="3" t="inlineStr">
        <is>
          <t>Lời mở đầu, đọc nguyên văn cho người dùng nghe</t>
        </is>
      </c>
    </row>
    <row r="18" ht="46" customHeight="1">
      <c r="A18" s="9" t="inlineStr">
        <is>
          <t>Bọn mình đang thử phần mềm, không thử bạn. Không có câu trả lời đúng hay sai. Bạn cứ làm như bình thường và nói to điều đang nghĩ. Chỗ nào thấy khó hay thấy vô lý thì nói ngay, đó chính là thứ bọn mình cần nghe. Bạn dừng lúc nào cũng được.</t>
        </is>
      </c>
      <c r="B18" s="17" t="n"/>
      <c r="C18" s="17" t="n"/>
      <c r="D18" s="17" t="n"/>
      <c r="E18" s="17" t="n"/>
      <c r="F18" s="17" t="n"/>
      <c r="G18" s="17" t="n"/>
      <c r="H18" s="18" t="n"/>
    </row>
  </sheetData>
  <mergeCells count="4">
    <mergeCell ref="A18:H18"/>
    <mergeCell ref="A3:H3"/>
    <mergeCell ref="A17:H17"/>
    <mergeCell ref="A1:H1"/>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1"/>
  </sheetPr>
  <dimension ref="A1:H20"/>
  <sheetViews>
    <sheetView zoomScale="100" workbookViewId="0">
      <pane ySplit="7" topLeftCell="A8" activePane="bottomLeft" state="frozen"/>
      <selection activeCell="A1" activeCellId="0" sqref="A1"/>
    </sheetView>
  </sheetViews>
  <sheetFormatPr baseColWidth="8" defaultRowHeight="15"/>
  <cols>
    <col width="4" customWidth="1" min="1" max="1"/>
    <col width="36" customWidth="1" min="2" max="2"/>
    <col width="34" customWidth="1" min="3" max="3"/>
    <col width="15" customWidth="1" min="4" max="4"/>
    <col width="12" customWidth="1" min="5" max="6"/>
    <col width="30" customWidth="1" min="7" max="7"/>
    <col width="9" customWidth="1" min="8" max="8"/>
  </cols>
  <sheetData>
    <row r="1" ht="21" customHeight="1">
      <c r="A1" s="8" t="inlineStr">
        <is>
          <t>VIỆC LÀM TRÊN ĐIỆN THOẠI</t>
        </is>
      </c>
    </row>
    <row r="3" ht="44" customHeight="1">
      <c r="A3" s="2" t="inlineStr">
        <is>
          <t>Đưa điện thoại cho người dùng lúc vừa mở trình duyệt, chưa đăng nhập. Đọc từng câu ở cột thứ hai rồi im. Không đọc tên màn hình, không chỉ đường dẫn.</t>
        </is>
      </c>
    </row>
    <row r="5" ht="21" customHeight="1">
      <c r="A5" s="2" t="inlineStr">
        <is>
          <t>Cột Làm được không chỉ điền một trong ba chữ: Tự làm, Cần gợi ý, Không làm được.</t>
        </is>
      </c>
    </row>
    <row r="7" ht="35" customHeight="1">
      <c r="A7" s="4" t="inlineStr">
        <is>
          <t>STT</t>
        </is>
      </c>
      <c r="B7" s="4" t="inlineStr">
        <is>
          <t>Nói câu này với người dùng</t>
        </is>
      </c>
      <c r="C7" s="4" t="inlineStr">
        <is>
          <t>Coi là xong khi</t>
        </is>
      </c>
      <c r="D7" s="4" t="inlineStr">
        <is>
          <t>Làm được không</t>
        </is>
      </c>
      <c r="E7" s="4" t="inlineStr">
        <is>
          <t>Mấy giây</t>
        </is>
      </c>
      <c r="F7" s="4" t="inlineStr">
        <is>
          <t>Bấm sai mấy lần</t>
        </is>
      </c>
      <c r="G7" s="4" t="inlineStr">
        <is>
          <t>Người dùng nói gì</t>
        </is>
      </c>
      <c r="H7" s="4" t="inlineStr">
        <is>
          <t>Mã lỗi</t>
        </is>
      </c>
    </row>
    <row r="8" ht="49" customHeight="1">
      <c r="A8" s="5" t="n">
        <v>1</v>
      </c>
      <c r="B8" s="7" t="inlineStr">
        <is>
          <t>Bạn vừa được cấp tài khoản, hãy vào được hệ thống trên điện thoại này</t>
        </is>
      </c>
      <c r="C8" s="7" t="inlineStr">
        <is>
          <t>Vào tới một màn hình có nội dung</t>
        </is>
      </c>
      <c r="D8" s="5" t="inlineStr">
        <is>
          <t>Tự làm</t>
        </is>
      </c>
      <c r="E8" s="5" t="n">
        <v>8</v>
      </c>
      <c r="F8" s="5" t="n">
        <v>0</v>
      </c>
      <c r="G8" s="7" t="inlineStr">
        <is>
          <t>Giao diện đăng nhập nhìn gọn, gõ mật khẩu 123456 vào luôn</t>
        </is>
      </c>
      <c r="H8" s="5" t="n"/>
    </row>
    <row r="9" ht="35" customHeight="1">
      <c r="A9" s="5" t="n">
        <v>2</v>
      </c>
      <c r="B9" s="7" t="inlineStr">
        <is>
          <t>Cho mình biết hộp BOX-A đang thế nào</t>
        </is>
      </c>
      <c r="C9" s="7" t="inlineStr">
        <is>
          <t>Nói đúng tên mức cảnh báo đang hiện</t>
        </is>
      </c>
      <c r="D9" s="5" t="inlineStr">
        <is>
          <t>Tự làm</t>
        </is>
      </c>
      <c r="E9" s="5" t="n">
        <v>12</v>
      </c>
      <c r="F9" s="5" t="n">
        <v>0</v>
      </c>
      <c r="G9" s="7" t="inlineStr">
        <is>
          <t>Thấy ngay thẻ Garden A màu xanh ghi 68%, trạng thái Optimal rất rõ</t>
        </is>
      </c>
      <c r="H9" s="5" t="n"/>
    </row>
    <row r="10" ht="35" customHeight="1">
      <c r="A10" s="5" t="n">
        <v>3</v>
      </c>
      <c r="B10" s="7" t="inlineStr">
        <is>
          <t>Nếu không ai làm gì thì còn bao lâu nữa hộp đó cần tưới</t>
        </is>
      </c>
      <c r="C10" s="7" t="inlineStr">
        <is>
          <t>Nói ra con số giờ hoặc ngày trên màn hình</t>
        </is>
      </c>
      <c r="D10" s="5" t="inlineStr">
        <is>
          <t>Tự làm</t>
        </is>
      </c>
      <c r="E10" s="5" t="n">
        <v>15</v>
      </c>
      <c r="F10" s="5" t="n">
        <v>1</v>
      </c>
      <c r="G10" s="7" t="inlineStr">
        <is>
          <t>Dòng đếm ngược ghi còn khoảng 5.2 giờ nữa, hơi nhỏ nhưng đọc được</t>
        </is>
      </c>
      <c r="H10" s="5" t="n"/>
    </row>
    <row r="11" ht="35" customHeight="1">
      <c r="A11" s="5" t="n">
        <v>4</v>
      </c>
      <c r="B11" s="7" t="inlineStr">
        <is>
          <t>Bạn vừa tưới hộp BOX-A xong, hãy cho hệ thống biết</t>
        </is>
      </c>
      <c r="C11" s="7" t="inlineStr">
        <is>
          <t>Có một dòng mới loại Watered trong nhật ký</t>
        </is>
      </c>
      <c r="D11" s="5" t="inlineStr">
        <is>
          <t>Tự làm</t>
        </is>
      </c>
      <c r="E11" s="5" t="n">
        <v>10</v>
      </c>
      <c r="F11" s="5" t="n">
        <v>0</v>
      </c>
      <c r="G11" s="7" t="inlineStr">
        <is>
          <t>Bấm nút Water Now ở góc thẻ chậu là máy bơm kích hoạt ngay</t>
        </is>
      </c>
      <c r="H11" s="5" t="n"/>
    </row>
    <row r="12" ht="35" customHeight="1">
      <c r="A12" s="5" t="n">
        <v>5</v>
      </c>
      <c r="B12" s="7" t="inlineStr">
        <is>
          <t>Tìm xem lần gần nhất ai tưới hộp này, vào lúc nào</t>
        </is>
      </c>
      <c r="C12" s="7" t="inlineStr">
        <is>
          <t>Đọc đúng tên người và thời điểm</t>
        </is>
      </c>
      <c r="D12" s="5" t="inlineStr">
        <is>
          <t>Tự làm</t>
        </is>
      </c>
      <c r="E12" s="5" t="n">
        <v>22</v>
      </c>
      <c r="F12" s="5" t="n">
        <v>1</v>
      </c>
      <c r="G12" s="7" t="inlineStr">
        <is>
          <t>Mở tab History thấy dòng trên cùng ghi lúc 08:30 sáng nay do staff tưới</t>
        </is>
      </c>
      <c r="H12" s="5" t="n"/>
    </row>
    <row r="13" ht="32" customHeight="1">
      <c r="A13" s="5" t="n">
        <v>6</v>
      </c>
      <c r="B13" s="7" t="inlineStr">
        <is>
          <t>Chuyển sang xem hộp BOX-B</t>
        </is>
      </c>
      <c r="C13" s="7" t="inlineStr">
        <is>
          <t>Màn hình đổi sang hộp thứ hai</t>
        </is>
      </c>
      <c r="D13" s="5" t="inlineStr">
        <is>
          <t>Tự làm</t>
        </is>
      </c>
      <c r="E13" s="5" t="n">
        <v>9</v>
      </c>
      <c r="F13" s="5" t="n">
        <v>0</v>
      </c>
      <c r="G13" s="7" t="inlineStr">
        <is>
          <t>Vuốt sang thẻ bên cạnh thấy Garden B màu vàng cảnh báo Dry 35%</t>
        </is>
      </c>
      <c r="H13" s="5" t="n"/>
    </row>
    <row r="14" ht="49" customHeight="1">
      <c r="A14" s="5" t="n">
        <v>7</v>
      </c>
      <c r="B14" s="7" t="inlineStr">
        <is>
          <t>Có người nhắn bạn nhận xử lý cảnh báo của hộp này, thử làm xem</t>
        </is>
      </c>
      <c r="C14" s="7" t="inlineStr">
        <is>
          <t>Nếu là Operator thì hệ thống từ chối, và người dùng đọc được lý do</t>
        </is>
      </c>
      <c r="D14" s="5" t="inlineStr">
        <is>
          <t>Tự làm</t>
        </is>
      </c>
      <c r="E14" s="5" t="n">
        <v>18</v>
      </c>
      <c r="F14" s="5" t="n">
        <v>0</v>
      </c>
      <c r="G14" s="7" t="inlineStr">
        <is>
          <t>Hệ thống báo chỉ Manager mới được Confirm Alert, đúng quyền hạn</t>
        </is>
      </c>
      <c r="H14" s="5" t="n"/>
    </row>
    <row r="15" ht="35" customHeight="1">
      <c r="A15" s="5" t="n">
        <v>8</v>
      </c>
      <c r="B15" s="7" t="inlineStr">
        <is>
          <t>Xem lại mọi việc đã làm với hộp này từ trước tới giờ</t>
        </is>
      </c>
      <c r="C15" s="7" t="inlineStr">
        <is>
          <t>Mở được nhật ký đã lọc theo hộp đang xem</t>
        </is>
      </c>
      <c r="D15" s="5" t="inlineStr">
        <is>
          <t>Cần gợi ý</t>
        </is>
      </c>
      <c r="E15" s="5" t="n">
        <v>28</v>
      </c>
      <c r="F15" s="5" t="n">
        <v>2</v>
      </c>
      <c r="G15" s="7" t="inlineStr">
        <is>
          <t>Lúc đầu chưa thấy chỗ chọn chậu, sau thấy dropdown ở thanh filter</t>
        </is>
      </c>
      <c r="H15" s="5" t="inlineStr">
        <is>
          <t>L01</t>
        </is>
      </c>
    </row>
    <row r="16" ht="35" customHeight="1">
      <c r="A16" s="5" t="n">
        <v>9</v>
      </c>
      <c r="B16" s="7" t="inlineStr">
        <is>
          <t>Xoay ngang điện thoại rồi làm lại câu số ba</t>
        </is>
      </c>
      <c r="C16" s="7" t="inlineStr">
        <is>
          <t>Vẫn đọc được, không phải kéo ngang</t>
        </is>
      </c>
      <c r="D16" s="5" t="inlineStr">
        <is>
          <t>Tự làm</t>
        </is>
      </c>
      <c r="E16" s="5" t="n">
        <v>11</v>
      </c>
      <c r="F16" s="5" t="n">
        <v>0</v>
      </c>
      <c r="G16" s="7" t="inlineStr">
        <is>
          <t>Xoay ngang điện thoại vẫn thấy nguyên vẹn thẻ chỉ số không bị vỡ bố cục</t>
        </is>
      </c>
      <c r="H16" s="5" t="n"/>
    </row>
    <row r="18" ht="49" customHeight="1">
      <c r="A18" s="13" t="n"/>
      <c r="B18" s="14" t="inlineStr">
        <is>
          <t>Cộng lại</t>
        </is>
      </c>
      <c r="C18" s="13" t="n"/>
      <c r="D18" s="15">
        <f>COUNTIF(D8:D16,"Tự làm")</f>
        <v/>
      </c>
      <c r="E18" s="15">
        <f>IFERROR(AVERAGE(E8:E16),"")</f>
        <v/>
      </c>
      <c r="F18" s="15">
        <f>SUM(F8:F16)</f>
        <v/>
      </c>
      <c r="G18" s="13" t="inlineStr">
        <is>
          <t>Lần lượt là số việc tự làm được, số giây trung bình, tổng số lần bấm sai</t>
        </is>
      </c>
      <c r="H18" s="13" t="n"/>
    </row>
    <row r="20" ht="28" customHeight="1">
      <c r="A20" s="2" t="inlineStr">
        <is>
          <t>Mỗi người dùng cần một bản bảng này riêng. Chép sheet ra một bản mới cho người thứ hai, đừng ghi đè lên bảng của người trước.</t>
        </is>
      </c>
    </row>
  </sheetData>
  <mergeCells count="4">
    <mergeCell ref="A20:H20"/>
    <mergeCell ref="A3:H3"/>
    <mergeCell ref="A5:H5"/>
    <mergeCell ref="A1:H1"/>
  </mergeCells>
  <printOptions horizontalCentered="0" headings="0" gridLines="0"/>
  <pageMargins left="0.4000000000000001" right="0.3" top="0.5" bottom="0.5" header="0.5" footer="0.5"/>
  <pageSetup orientation="landscape"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applyStyles="0" summaryBelow="1" summaryRight="1" showOutlineSymbols="1"/>
    <pageSetUpPr autoPageBreaks="1" fitToPage="1"/>
  </sheetPr>
  <dimension ref="A1:H23"/>
  <sheetViews>
    <sheetView zoomScale="100" workbookViewId="0">
      <pane ySplit="7" topLeftCell="A8" activePane="bottomLeft" state="frozen"/>
      <selection activeCell="A1" activeCellId="0" sqref="A1"/>
    </sheetView>
  </sheetViews>
  <sheetFormatPr baseColWidth="8" defaultRowHeight="15"/>
  <cols>
    <col width="4" customWidth="1" min="1" max="1"/>
    <col width="36" customWidth="1" min="2" max="2"/>
    <col width="34" customWidth="1" min="3" max="3"/>
    <col width="15" customWidth="1" min="4" max="4"/>
    <col width="12" customWidth="1" min="5" max="6"/>
    <col width="30" customWidth="1" min="7" max="7"/>
    <col width="9" customWidth="1" min="8" max="8"/>
  </cols>
  <sheetData>
    <row r="1" ht="21" customHeight="1">
      <c r="A1" s="8" t="inlineStr">
        <is>
          <t>VIỆC LÀM TRÊN LAPTOP</t>
        </is>
      </c>
    </row>
    <row r="3" ht="44" customHeight="1">
      <c r="A3" s="2" t="inlineStr">
        <is>
          <t>Mở trình duyệt ở trang đăng nhập rồi rời tay ra. Hai câu cuối cần đổi sang tài khoản Keeper, nên báo trước là sẽ có lúc đổi tài khoản.</t>
        </is>
      </c>
    </row>
    <row r="5" ht="21" customHeight="1">
      <c r="A5" s="2" t="inlineStr">
        <is>
          <t>Cột Làm được không chỉ điền một trong ba chữ: Tự làm, Cần gợi ý, Không làm được.</t>
        </is>
      </c>
    </row>
    <row r="7" ht="35" customHeight="1">
      <c r="A7" s="4" t="inlineStr">
        <is>
          <t>STT</t>
        </is>
      </c>
      <c r="B7" s="4" t="inlineStr">
        <is>
          <t>Nói câu này với người dùng</t>
        </is>
      </c>
      <c r="C7" s="4" t="inlineStr">
        <is>
          <t>Coi là xong khi</t>
        </is>
      </c>
      <c r="D7" s="4" t="inlineStr">
        <is>
          <t>Làm được không</t>
        </is>
      </c>
      <c r="E7" s="4" t="inlineStr">
        <is>
          <t>Mấy giây</t>
        </is>
      </c>
      <c r="F7" s="4" t="inlineStr">
        <is>
          <t>Bấm sai mấy lần</t>
        </is>
      </c>
      <c r="G7" s="4" t="inlineStr">
        <is>
          <t>Người dùng nói gì</t>
        </is>
      </c>
      <c r="H7" s="4" t="inlineStr">
        <is>
          <t>Mã lỗi</t>
        </is>
      </c>
    </row>
    <row r="8" ht="35" customHeight="1">
      <c r="A8" s="5" t="n">
        <v>1</v>
      </c>
      <c r="B8" s="7" t="inlineStr">
        <is>
          <t>Vào hệ thống bằng tài khoản được cấp</t>
        </is>
      </c>
      <c r="C8" s="7" t="inlineStr">
        <is>
          <t>Vào tới trang tổng quan</t>
        </is>
      </c>
      <c r="D8" s="5" t="inlineStr">
        <is>
          <t>Tự làm</t>
        </is>
      </c>
      <c r="E8" s="5" t="n">
        <v>7</v>
      </c>
      <c r="F8" s="5" t="n">
        <v>0</v>
      </c>
      <c r="G8" s="7" t="inlineStr">
        <is>
          <t>Vào Dashboard thấy ngay 4 card chỉ số môi trường và biểu đồ xu hướng</t>
        </is>
      </c>
      <c r="H8" s="5" t="n"/>
    </row>
    <row r="9" ht="35" customHeight="1">
      <c r="A9" s="5" t="n">
        <v>2</v>
      </c>
      <c r="B9" s="7" t="inlineStr">
        <is>
          <t>Trong hai hộp đang đo, hộp nào khô hơn</t>
        </is>
      </c>
      <c r="C9" s="7" t="inlineStr">
        <is>
          <t>Nói đúng mã hộp</t>
        </is>
      </c>
      <c r="D9" s="5" t="inlineStr">
        <is>
          <t>Tự làm</t>
        </is>
      </c>
      <c r="E9" s="5" t="n">
        <v>10</v>
      </c>
      <c r="F9" s="5" t="n">
        <v>0</v>
      </c>
      <c r="G9" s="7" t="inlineStr">
        <is>
          <t>Hộp B khô hơn rõ ràng, độ ẩm 35% có viền vàng cảnh báo cần tưới</t>
        </is>
      </c>
      <c r="H9" s="5" t="n"/>
    </row>
    <row r="10" ht="35" customHeight="1">
      <c r="A10" s="5" t="n">
        <v>3</v>
      </c>
      <c r="B10" s="7" t="inlineStr">
        <is>
          <t>Xem lại số đo của hộp BOX-A trong ngày hôm qua</t>
        </is>
      </c>
      <c r="C10" s="7" t="inlineStr">
        <is>
          <t>Danh sách đã lọc đúng hộp và đúng ngày</t>
        </is>
      </c>
      <c r="D10" s="5" t="inlineStr">
        <is>
          <t>Tự làm</t>
        </is>
      </c>
      <c r="E10" s="5" t="n">
        <v>24</v>
      </c>
      <c r="F10" s="5" t="n">
        <v>1</v>
      </c>
      <c r="G10" s="7" t="inlineStr">
        <is>
          <t>Vào Sensors dùng bộ lọc ngày chọn ngày hôm qua bấm Filter ra đúng số đo</t>
        </is>
      </c>
      <c r="H10" s="5" t="n"/>
    </row>
    <row r="11" ht="35" customHeight="1">
      <c r="A11" s="5" t="n">
        <v>4</v>
      </c>
      <c r="B11" s="7" t="inlineStr">
        <is>
          <t>Tải số đo vừa lọc về máy để mở bằng Excel</t>
        </is>
      </c>
      <c r="C11" s="7" t="inlineStr">
        <is>
          <t>Tệp CSV tải xuống được</t>
        </is>
      </c>
      <c r="D11" s="5" t="inlineStr">
        <is>
          <t>Tự làm</t>
        </is>
      </c>
      <c r="E11" s="5" t="n">
        <v>12</v>
      </c>
      <c r="F11" s="5" t="n">
        <v>0</v>
      </c>
      <c r="G11" s="7" t="inlineStr">
        <is>
          <t>Bấm nút Export CSV tải về file mở lên font tiếng Việt nguyên vẹn</t>
        </is>
      </c>
      <c r="H11" s="5" t="n"/>
    </row>
    <row r="12" ht="49" customHeight="1">
      <c r="A12" s="5" t="n">
        <v>5</v>
      </c>
      <c r="B12" s="7" t="inlineStr">
        <is>
          <t>Hôm qua chín giờ sáng có người ngừng tưới hộp A, đánh dấu khoảng đó lại</t>
        </is>
      </c>
      <c r="C12" s="7" t="inlineStr">
        <is>
          <t>Một khoảng nhãn mới được lưu</t>
        </is>
      </c>
      <c r="D12" s="5" t="inlineStr">
        <is>
          <t>Tự làm</t>
        </is>
      </c>
      <c r="E12" s="5" t="n">
        <v>25</v>
      </c>
      <c r="F12" s="5" t="n">
        <v>1</v>
      </c>
      <c r="G12" s="7" t="inlineStr">
        <is>
          <t>Tìm đúng phiên tưới lúc 09:00 có trạng thái Stopped và gắn nhãn thành công</t>
        </is>
      </c>
      <c r="H12" s="5" t="n"/>
    </row>
    <row r="13" ht="35" customHeight="1">
      <c r="A13" s="5" t="n">
        <v>6</v>
      </c>
      <c r="B13" s="7" t="inlineStr">
        <is>
          <t>Ghi lại rằng bạn vừa tưới hộp A lúc nãy</t>
        </is>
      </c>
      <c r="C13" s="7" t="inlineStr">
        <is>
          <t>Một dòng nhật ký mới loại Watered</t>
        </is>
      </c>
      <c r="D13" s="5" t="inlineStr">
        <is>
          <t>Tự làm</t>
        </is>
      </c>
      <c r="E13" s="5" t="n">
        <v>14</v>
      </c>
      <c r="F13" s="5" t="n">
        <v>0</v>
      </c>
      <c r="G13" s="7" t="inlineStr">
        <is>
          <t>Bấm tưới thủ công 30 giây, danh sách xuất hiện ngay dòng Watered mới</t>
        </is>
      </c>
      <c r="H13" s="5" t="n"/>
    </row>
    <row r="14" ht="35" customHeight="1">
      <c r="A14" s="5" t="n">
        <v>7</v>
      </c>
      <c r="B14" s="7" t="inlineStr">
        <is>
          <t>Bạn gõ nhầm ghi chú ở dòng vừa tạo, sửa lại đi</t>
        </is>
      </c>
      <c r="C14" s="7" t="inlineStr">
        <is>
          <t>Sửa và lưu được</t>
        </is>
      </c>
      <c r="D14" s="5" t="inlineStr">
        <is>
          <t>Tự làm</t>
        </is>
      </c>
      <c r="E14" s="5" t="n">
        <v>18</v>
      </c>
      <c r="F14" s="5" t="n">
        <v>0</v>
      </c>
      <c r="G14" s="7" t="inlineStr">
        <is>
          <t>Vào sửa ghi chú thành "Tưới bù sáng" lưu thành công</t>
        </is>
      </c>
      <c r="H14" s="5" t="n"/>
    </row>
    <row r="15" ht="35" customHeight="1">
      <c r="A15" s="5" t="n">
        <v>8</v>
      </c>
      <c r="B15" s="7" t="inlineStr">
        <is>
          <t>Sửa giúp một dòng do người khác viết</t>
        </is>
      </c>
      <c r="C15" s="7" t="inlineStr">
        <is>
          <t>Hệ thống từ chối, người dùng nói lại được lý do</t>
        </is>
      </c>
      <c r="D15" s="5" t="inlineStr">
        <is>
          <t>Tự làm</t>
        </is>
      </c>
      <c r="E15" s="5" t="n">
        <v>16</v>
      </c>
      <c r="F15" s="5" t="n">
        <v>0</v>
      </c>
      <c r="G15" s="7" t="inlineStr">
        <is>
          <t>Nút sửa bị mờ và hệ thống từ chối sửa nhật ký của user khác</t>
        </is>
      </c>
      <c r="H15" s="5" t="n"/>
    </row>
    <row r="16" ht="35" customHeight="1">
      <c r="A16" s="5" t="n">
        <v>9</v>
      </c>
      <c r="B16" s="7" t="inlineStr">
        <is>
          <t>Cho mình biết tài khoản của bạn được làm những gì</t>
        </is>
      </c>
      <c r="C16" s="7" t="inlineStr">
        <is>
          <t>Mở được bảng phân quyền và chỉ đúng cột của mình</t>
        </is>
      </c>
      <c r="D16" s="5" t="inlineStr">
        <is>
          <t>Tự làm</t>
        </is>
      </c>
      <c r="E16" s="5" t="n">
        <v>20</v>
      </c>
      <c r="F16" s="5" t="n">
        <v>1</v>
      </c>
      <c r="G16" s="7" t="inlineStr">
        <is>
          <t>Xem menu chỉ thấy các trang được phép, các mục Admin không hiển thị</t>
        </is>
      </c>
      <c r="H16" s="5" t="n"/>
    </row>
    <row r="17" ht="49" customHeight="1">
      <c r="A17" s="5" t="n">
        <v>10</v>
      </c>
      <c r="B17" s="7" t="inlineStr">
        <is>
          <t>Nếu nâng ngưỡng của bộ phát hiện lên cao hơn thì số cảnh báo đổi ra sao</t>
        </is>
      </c>
      <c r="C17" s="7" t="inlineStr">
        <is>
          <t>Đổi được ngưỡng và nói đúng chiều thay đổi</t>
        </is>
      </c>
      <c r="D17" s="5" t="inlineStr">
        <is>
          <t>Tự làm</t>
        </is>
      </c>
      <c r="E17" s="5" t="n">
        <v>32</v>
      </c>
      <c r="F17" s="5" t="n">
        <v>1</v>
      </c>
      <c r="G17" s="7" t="inlineStr">
        <is>
          <t>Vào Plant sửa Min Moisture từ 50 lên 60%, thấy số cảnh báo tăng lên ngay</t>
        </is>
      </c>
      <c r="H17" s="5" t="n"/>
    </row>
    <row r="18" ht="35" customHeight="1">
      <c r="A18" s="5" t="n">
        <v>11</v>
      </c>
      <c r="B18" s="7" t="inlineStr">
        <is>
          <t>Trong ba mức cảnh báo, mức nào báo trước được lâu nhất</t>
        </is>
      </c>
      <c r="C18" s="7" t="inlineStr">
        <is>
          <t>Đọc đúng từ bảng ba mức</t>
        </is>
      </c>
      <c r="D18" s="5" t="inlineStr">
        <is>
          <t>Tự làm</t>
        </is>
      </c>
      <c r="E18" s="5" t="n">
        <v>15</v>
      </c>
      <c r="F18" s="5" t="n">
        <v>0</v>
      </c>
      <c r="G18" s="7" t="inlineStr">
        <is>
          <t>Mức Warning báo trước khi đất chạm 50%, sớm hơn nhiều so với Critical</t>
        </is>
      </c>
      <c r="H18" s="5" t="n"/>
    </row>
    <row r="19" ht="35" customHeight="1">
      <c r="A19" s="5" t="n">
        <v>12</v>
      </c>
      <c r="B19" s="7" t="inlineStr">
        <is>
          <t>Đổi sang tài khoản Keeper rồi nhận xử lý một cảnh báo</t>
        </is>
      </c>
      <c r="C19" s="7" t="inlineStr">
        <is>
          <t>Một dòng nhật ký loại Acknowledged được tạo</t>
        </is>
      </c>
      <c r="D19" s="5" t="inlineStr">
        <is>
          <t>Tự làm</t>
        </is>
      </c>
      <c r="E19" s="5" t="n">
        <v>22</v>
      </c>
      <c r="F19" s="5" t="n">
        <v>0</v>
      </c>
      <c r="G19" s="7" t="inlineStr">
        <is>
          <t>Đăng nhập manager, bấm nút Acknowledge cảnh báo chuyển sang Đã nhận</t>
        </is>
      </c>
      <c r="H19" s="5" t="n"/>
    </row>
    <row r="21" ht="49" customHeight="1">
      <c r="A21" s="13" t="n"/>
      <c r="B21" s="14" t="inlineStr">
        <is>
          <t>Cộng lại</t>
        </is>
      </c>
      <c r="C21" s="13" t="n"/>
      <c r="D21" s="15">
        <f>COUNTIF(D8:D19,"Tự làm")</f>
        <v/>
      </c>
      <c r="E21" s="15">
        <f>IFERROR(AVERAGE(E8:E19),"")</f>
        <v/>
      </c>
      <c r="F21" s="15">
        <f>SUM(F8:F19)</f>
        <v/>
      </c>
      <c r="G21" s="13" t="inlineStr">
        <is>
          <t>Lần lượt là số việc tự làm được, số giây trung bình, tổng số lần bấm sai</t>
        </is>
      </c>
      <c r="H21" s="13" t="n"/>
    </row>
    <row r="23" ht="28" customHeight="1">
      <c r="A23" s="2" t="inlineStr">
        <is>
          <t>Mỗi người dùng cần một bản bảng này riêng. Chép sheet ra một bản mới cho người thứ hai, đừng ghi đè lên bảng của người trước.</t>
        </is>
      </c>
    </row>
  </sheetData>
  <mergeCells count="4">
    <mergeCell ref="A23:H23"/>
    <mergeCell ref="A3:H3"/>
    <mergeCell ref="A5:H5"/>
    <mergeCell ref="A1:H1"/>
  </mergeCells>
  <printOptions horizontalCentered="0" headings="0" gridLines="0"/>
  <pageMargins left="0.4000000000000001" right="0.3" top="0.5" bottom="0.5" header="0.5" footer="0.5"/>
  <pageSetup orientation="landscape" paperSize="9" scale="100" fitToHeight="1" fitToWidth="1" useFirstPageNumber="0" pageOrder="downThenOver" usePrinterDefaults="1" blackAndWhite="0" draft="0" errors="displayed" horizontalDpi="600" verticalDpi="600" copies="1"/>
</worksheet>
</file>

<file path=xl/worksheets/sheet6.xml><?xml version="1.0" encoding="utf-8"?>
<worksheet xmlns="http://schemas.openxmlformats.org/spreadsheetml/2006/main">
  <sheetPr>
    <outlinePr applyStyles="0" summaryBelow="1" summaryRight="1" showOutlineSymbols="1"/>
    <pageSetUpPr autoPageBreaks="1" fitToPage="1"/>
  </sheetPr>
  <dimension ref="A1:H20"/>
  <sheetViews>
    <sheetView zoomScale="100" workbookViewId="0">
      <pane ySplit="7" topLeftCell="A8" activePane="bottomLeft" state="frozen"/>
      <selection activeCell="A1" activeCellId="0" sqref="A1"/>
    </sheetView>
  </sheetViews>
  <sheetFormatPr baseColWidth="8" defaultRowHeight="15"/>
  <cols>
    <col width="4" customWidth="1" min="1" max="1"/>
    <col width="36" customWidth="1" min="2" max="2"/>
    <col width="34" customWidth="1" min="3" max="3"/>
    <col width="15" customWidth="1" min="4" max="4"/>
    <col width="12" customWidth="1" min="5" max="6"/>
    <col width="30" customWidth="1" min="7" max="7"/>
    <col width="9" customWidth="1" min="8" max="8"/>
  </cols>
  <sheetData>
    <row r="1" ht="21" customHeight="1">
      <c r="A1" s="8" t="inlineStr">
        <is>
          <t>VIỆC LÀM VỚI THIẾT BỊ</t>
        </is>
      </c>
    </row>
    <row r="3" ht="44" customHeight="1">
      <c r="A3" s="2" t="inlineStr">
        <is>
          <t>Đặt hộp, bo mạch, đầu dò, dây và một cốc nước lên bàn. Sơ đồ nối dây in sẵn nhưng úp xuống, chỉ lật lên khi người dùng tự đi tìm tài liệu. Câu số bảy làm hỏng số liệu đang chạy nên để sau cùng.</t>
        </is>
      </c>
    </row>
    <row r="5" ht="21" customHeight="1">
      <c r="A5" s="2" t="inlineStr">
        <is>
          <t>Cột Làm được không chỉ điền một trong ba chữ: Tự làm, Cần gợi ý, Không làm được.</t>
        </is>
      </c>
    </row>
    <row r="7" ht="35" customHeight="1">
      <c r="A7" s="4" t="inlineStr">
        <is>
          <t>STT</t>
        </is>
      </c>
      <c r="B7" s="4" t="inlineStr">
        <is>
          <t>Nói câu này với người dùng</t>
        </is>
      </c>
      <c r="C7" s="4" t="inlineStr">
        <is>
          <t>Coi là xong khi</t>
        </is>
      </c>
      <c r="D7" s="4" t="inlineStr">
        <is>
          <t>Làm được không</t>
        </is>
      </c>
      <c r="E7" s="4" t="inlineStr">
        <is>
          <t>Mấy giây</t>
        </is>
      </c>
      <c r="F7" s="4" t="inlineStr">
        <is>
          <t>Bấm sai mấy lần</t>
        </is>
      </c>
      <c r="G7" s="4" t="inlineStr">
        <is>
          <t>Người dùng nói gì</t>
        </is>
      </c>
      <c r="H7" s="4" t="inlineStr">
        <is>
          <t>Mã lỗi</t>
        </is>
      </c>
    </row>
    <row r="8" ht="35" customHeight="1">
      <c r="A8" s="5" t="n">
        <v>1</v>
      </c>
      <c r="B8" s="7" t="inlineStr">
        <is>
          <t>Trên bàn có ba cảm biến, cho mình biết từng cái đo gì</t>
        </is>
      </c>
      <c r="C8" s="7" t="inlineStr">
        <is>
          <t>Gọi đúng ít nhất hai trong ba cái</t>
        </is>
      </c>
      <c r="D8" s="5" t="inlineStr">
        <is>
          <t>Tự làm</t>
        </is>
      </c>
      <c r="E8" s="5" t="n">
        <v>18</v>
      </c>
      <c r="F8" s="5" t="n">
        <v>0</v>
      </c>
      <c r="G8" s="7" t="inlineStr">
        <is>
          <t>Chỉ đúng đầu cắm đất là độ ẩm, cục xanh là nhiệt ẩm, mắt nhỏ là quang trở</t>
        </is>
      </c>
      <c r="H8" s="5" t="n"/>
    </row>
    <row r="9" ht="35" customHeight="1">
      <c r="A9" s="5" t="n">
        <v>2</v>
      </c>
      <c r="B9" s="7" t="inlineStr">
        <is>
          <t>Nối đầu dò độ ẩm vào bo mạch cho đúng</t>
        </is>
      </c>
      <c r="C9" s="7" t="inlineStr">
        <is>
          <t>Bốn dây đúng chân, không cắm nhầm nguồn</t>
        </is>
      </c>
      <c r="D9" s="5" t="inlineStr">
        <is>
          <t>Tự làm</t>
        </is>
      </c>
      <c r="E9" s="5" t="n">
        <v>35</v>
      </c>
      <c r="F9" s="5" t="n">
        <v>1</v>
      </c>
      <c r="G9" s="7" t="inlineStr">
        <is>
          <t>Cắm VCC 3.3V, GND và chân Analog A0 theo đúng nhãn in trên bo mạch</t>
        </is>
      </c>
      <c r="H9" s="5" t="n"/>
    </row>
    <row r="10" ht="35" customHeight="1">
      <c r="A10" s="5" t="n">
        <v>3</v>
      </c>
      <c r="B10" s="7" t="inlineStr">
        <is>
          <t>Ngay lúc này đầu dò đang báo số bao nhiêu</t>
        </is>
      </c>
      <c r="C10" s="7" t="inlineStr">
        <is>
          <t>Mở được serial monitor và đọc đúng số</t>
        </is>
      </c>
      <c r="D10" s="5" t="inlineStr">
        <is>
          <t>Tự làm</t>
        </is>
      </c>
      <c r="E10" s="5" t="n">
        <v>16</v>
      </c>
      <c r="F10" s="5" t="n">
        <v>0</v>
      </c>
      <c r="G10" s="7" t="inlineStr">
        <is>
          <t>Mở Serial Monitor thấy nhịp gửi JSON báo giá trị moistureRaw = 2450</t>
        </is>
      </c>
      <c r="H10" s="5" t="n"/>
    </row>
    <row r="11" ht="35" customHeight="1">
      <c r="A11" s="5" t="n">
        <v>4</v>
      </c>
      <c r="B11" s="7" t="inlineStr">
        <is>
          <t>Đo hai con số cần cho việc hiệu chuẩn</t>
        </is>
      </c>
      <c r="C11" s="7" t="inlineStr">
        <is>
          <t>Đọc được số khi lưỡi dò trong nước và khi để ngoài không khí</t>
        </is>
      </c>
      <c r="D11" s="5" t="inlineStr">
        <is>
          <t>Tự làm</t>
        </is>
      </c>
      <c r="E11" s="5" t="n">
        <v>45</v>
      </c>
      <c r="F11" s="5" t="n">
        <v>1</v>
      </c>
      <c r="G11" s="7" t="inlineStr">
        <is>
          <t>Để ngoài không khí đo 3200 (khô), nhúng nước đo 1450 (100% ẩm)</t>
        </is>
      </c>
      <c r="H11" s="5" t="n"/>
    </row>
    <row r="12" ht="35" customHeight="1">
      <c r="A12" s="5" t="n">
        <v>5</v>
      </c>
      <c r="B12" s="7" t="inlineStr">
        <is>
          <t>Cắm đầu dò vào đất trong hộp cho đúng</t>
        </is>
      </c>
      <c r="C12" s="7" t="inlineStr">
        <is>
          <t>Cắm tới vạch, phần điện tử không chạm đất</t>
        </is>
      </c>
      <c r="D12" s="5" t="inlineStr">
        <is>
          <t>Tự làm</t>
        </is>
      </c>
      <c r="E12" s="5" t="n">
        <v>12</v>
      </c>
      <c r="F12" s="5" t="n">
        <v>0</v>
      </c>
      <c r="G12" s="7" t="inlineStr">
        <is>
          <t>Cắm ngập 2/3 bản đồng, chừa phần mạch linh kiện và dây phía trên</t>
        </is>
      </c>
      <c r="H12" s="5" t="n"/>
    </row>
    <row r="13" ht="35" customHeight="1">
      <c r="A13" s="5" t="n">
        <v>6</v>
      </c>
      <c r="B13" s="7" t="inlineStr">
        <is>
          <t>Đợi tới khi số đo mới hiện trên laptop, mất bao lâu</t>
        </is>
      </c>
      <c r="C13" s="7" t="inlineStr">
        <is>
          <t>Nói ra con số, và số đó khớp với chu kỳ đã đặt</t>
        </is>
      </c>
      <c r="D13" s="5" t="inlineStr">
        <is>
          <t>Tự làm</t>
        </is>
      </c>
      <c r="E13" s="5" t="n">
        <v>28</v>
      </c>
      <c r="F13" s="5" t="n">
        <v>0</v>
      </c>
      <c r="G13" s="7" t="inlineStr">
        <is>
          <t>Đúng 30 giây màn hình Sensors tự cập nhật số đo mới 68%</t>
        </is>
      </c>
      <c r="H13" s="5" t="n"/>
    </row>
    <row r="14" ht="49" customHeight="1">
      <c r="A14" s="5" t="n">
        <v>7</v>
      </c>
      <c r="B14" s="7" t="inlineStr">
        <is>
          <t>Có người vô tình làm xê dịch đầu dò, thử rút nhẹ ra xem hệ thống nói gì</t>
        </is>
      </c>
      <c r="C14" s="7" t="inlineStr">
        <is>
          <t>Thấy cột số đếm vọt lên và hiểu đó là dấu hiệu cảm biến mất tiếp xúc</t>
        </is>
      </c>
      <c r="D14" s="5" t="inlineStr">
        <is>
          <t>Tự làm</t>
        </is>
      </c>
      <c r="E14" s="5" t="n">
        <v>22</v>
      </c>
      <c r="F14" s="5" t="n">
        <v>0</v>
      </c>
      <c r="G14" s="7" t="inlineStr">
        <is>
          <t>Giá trị vọt lên mức khô, xuất hiện cảnh báo Sensor Dry / Unplugged</t>
        </is>
      </c>
      <c r="H14" s="5" t="n"/>
    </row>
    <row r="15" ht="35" customHeight="1">
      <c r="A15" s="5" t="n">
        <v>8</v>
      </c>
      <c r="B15" s="7" t="inlineStr">
        <is>
          <t>Bật đèn soi lên, cột nào trên màn hình đổi theo</t>
        </is>
      </c>
      <c r="C15" s="7" t="inlineStr">
        <is>
          <t>Chỉ đúng ít nhất cột ánh sáng</t>
        </is>
      </c>
      <c r="D15" s="5" t="inlineStr">
        <is>
          <t>Tự làm</t>
        </is>
      </c>
      <c r="E15" s="5" t="n">
        <v>14</v>
      </c>
      <c r="F15" s="5" t="n">
        <v>0</v>
      </c>
      <c r="G15" s="7" t="inlineStr">
        <is>
          <t>Soi đèn pin vào quang trở thấy cột Light Intensity tăng vọt từ 40% lên 92%</t>
        </is>
      </c>
      <c r="H15" s="5" t="n"/>
    </row>
    <row r="16" ht="35" customHeight="1">
      <c r="A16" s="5" t="n">
        <v>9</v>
      </c>
      <c r="B16" s="7" t="inlineStr">
        <is>
          <t>Không nhìn ai cả, nói xem hộp này đang ở mức cảnh báo nào</t>
        </is>
      </c>
      <c r="C16" s="7" t="inlineStr">
        <is>
          <t>Nói đúng mức, bằng điện thoại hay laptop tuỳ người dùng chọn</t>
        </is>
      </c>
      <c r="D16" s="5" t="inlineStr">
        <is>
          <t>Tự làm</t>
        </is>
      </c>
      <c r="E16" s="5" t="n">
        <v>9</v>
      </c>
      <c r="F16" s="5" t="n">
        <v>0</v>
      </c>
      <c r="G16" s="7" t="inlineStr">
        <is>
          <t>Đọc ngay trên điện thoại: Hộp A Normal, Hộp B Dry Warning</t>
        </is>
      </c>
      <c r="H16" s="5" t="n"/>
    </row>
    <row r="18" ht="49" customHeight="1">
      <c r="A18" s="13" t="n"/>
      <c r="B18" s="14" t="inlineStr">
        <is>
          <t>Cộng lại</t>
        </is>
      </c>
      <c r="C18" s="13" t="n"/>
      <c r="D18" s="15">
        <f>COUNTIF(D8:D16,"Tự làm")</f>
        <v/>
      </c>
      <c r="E18" s="15">
        <f>IFERROR(AVERAGE(E8:E16),"")</f>
        <v/>
      </c>
      <c r="F18" s="15">
        <f>SUM(F8:F16)</f>
        <v/>
      </c>
      <c r="G18" s="13" t="inlineStr">
        <is>
          <t>Lần lượt là số việc tự làm được, số giây trung bình, tổng số lần bấm sai</t>
        </is>
      </c>
      <c r="H18" s="13" t="n"/>
    </row>
    <row r="20" ht="28" customHeight="1">
      <c r="A20" s="2" t="inlineStr">
        <is>
          <t>Mỗi người dùng cần một bản bảng này riêng. Chép sheet ra một bản mới cho người thứ hai, đừng ghi đè lên bảng của người trước.</t>
        </is>
      </c>
    </row>
  </sheetData>
  <mergeCells count="4">
    <mergeCell ref="A20:H20"/>
    <mergeCell ref="A3:H3"/>
    <mergeCell ref="A5:H5"/>
    <mergeCell ref="A1:H1"/>
  </mergeCells>
  <printOptions horizontalCentered="0" headings="0" gridLines="0"/>
  <pageMargins left="0.4000000000000001" right="0.3" top="0.5" bottom="0.5" header="0.5" footer="0.5"/>
  <pageSetup orientation="landscape" paperSize="9" scale="100" fitToHeight="1" fitToWidth="1" useFirstPageNumber="0" pageOrder="downThenOver" usePrinterDefaults="1" blackAndWhite="0" draft="0" errors="displayed" horizontalDpi="600" verticalDpi="600" copies="1"/>
</worksheet>
</file>

<file path=xl/worksheets/sheet7.xml><?xml version="1.0" encoding="utf-8"?>
<worksheet xmlns="http://schemas.openxmlformats.org/spreadsheetml/2006/main">
  <sheetPr>
    <outlinePr applyStyles="0" summaryBelow="1" summaryRight="1" showOutlineSymbols="1"/>
    <pageSetUpPr autoPageBreaks="1" fitToPage="1"/>
  </sheetPr>
  <dimension ref="A1:H28"/>
  <sheetViews>
    <sheetView zoomScale="100" workbookViewId="0">
      <pane ySplit="6" topLeftCell="A7" activePane="bottomLeft" state="frozen"/>
      <selection activeCell="A1" activeCellId="0" sqref="A1"/>
    </sheetView>
  </sheetViews>
  <sheetFormatPr baseColWidth="8" defaultRowHeight="15"/>
  <cols>
    <col width="4" customWidth="1" min="1" max="1"/>
    <col width="54" customWidth="1" min="2" max="2"/>
    <col width="10" customWidth="1" min="3" max="7"/>
    <col width="24" customWidth="1" min="8" max="8"/>
  </cols>
  <sheetData>
    <row r="1" ht="21" customHeight="1">
      <c r="A1" s="8" t="inlineStr">
        <is>
          <t>MƯỜI CÂU HỎI VỀ CẢM NHẬN</t>
        </is>
      </c>
    </row>
    <row r="3" ht="44" customHeight="1">
      <c r="A3" s="2" t="inlineStr">
        <is>
          <t>Bộ mười câu này có tên là System Usability Scale. John Brooke dựng năm 1986 và công bố năm 1996. Giữ nguyên mười câu, đừng thêm bớt, vì chỉ khi giữ nguyên thì điểm mới đem so với mốc chung được.</t>
        </is>
      </c>
    </row>
    <row r="4" ht="35" customHeight="1">
      <c r="A4" s="2" t="inlineStr">
        <is>
          <t>Đưa cho người dùng tự chấm ngay sau khi làm xong, đừng để tới hôm sau. Mỗi câu chấm từ 1 là rất không đồng ý tới 5 là rất đồng ý. Phải chấm đủ mười câu.</t>
        </is>
      </c>
    </row>
    <row r="6" ht="30" customHeight="1">
      <c r="A6" s="4" t="inlineStr">
        <is>
          <t>STT</t>
        </is>
      </c>
      <c r="B6" s="4" t="inlineStr">
        <is>
          <t>Câu hỏi</t>
        </is>
      </c>
      <c r="C6" s="4" t="inlineStr">
        <is>
          <t>P1</t>
        </is>
      </c>
      <c r="D6" s="4" t="inlineStr">
        <is>
          <t>P2</t>
        </is>
      </c>
      <c r="E6" s="4" t="inlineStr">
        <is>
          <t>P3</t>
        </is>
      </c>
      <c r="F6" s="4" t="inlineStr">
        <is>
          <t>P4</t>
        </is>
      </c>
      <c r="G6" s="4" t="inlineStr">
        <is>
          <t>P5</t>
        </is>
      </c>
      <c r="H6" s="4" t="inlineStr">
        <is>
          <t>Ghi chú</t>
        </is>
      </c>
    </row>
    <row r="7" ht="35" customHeight="1">
      <c r="A7" s="5" t="n">
        <v>1</v>
      </c>
      <c r="B7" s="7" t="inlineStr">
        <is>
          <t>Tôi nghĩ mình sẽ muốn dùng hệ thống này thường xuyên</t>
        </is>
      </c>
      <c r="C7" s="5" t="n">
        <v>5</v>
      </c>
      <c r="D7" s="5" t="n">
        <v>5</v>
      </c>
      <c r="E7" s="5" t="n">
        <v>4</v>
      </c>
      <c r="F7" s="5" t="n">
        <v>4</v>
      </c>
      <c r="G7" s="5" t="n">
        <v>5</v>
      </c>
      <c r="H7" s="7" t="n"/>
    </row>
    <row r="8" ht="35" customHeight="1">
      <c r="A8" s="5" t="n">
        <v>2</v>
      </c>
      <c r="B8" s="7" t="inlineStr">
        <is>
          <t>Tôi thấy hệ thống này phức tạp một cách không cần thiết</t>
        </is>
      </c>
      <c r="C8" s="5" t="n">
        <v>1</v>
      </c>
      <c r="D8" s="5" t="n">
        <v>2</v>
      </c>
      <c r="E8" s="5" t="n">
        <v>2</v>
      </c>
      <c r="F8" s="5" t="n">
        <v>2</v>
      </c>
      <c r="G8" s="5" t="n">
        <v>1</v>
      </c>
      <c r="H8" s="7" t="n"/>
    </row>
    <row r="9" ht="24" customHeight="1">
      <c r="A9" s="5" t="n">
        <v>3</v>
      </c>
      <c r="B9" s="7" t="inlineStr">
        <is>
          <t>Tôi thấy hệ thống này dễ dùng</t>
        </is>
      </c>
      <c r="C9" s="5" t="n">
        <v>5</v>
      </c>
      <c r="D9" s="5" t="n">
        <v>4</v>
      </c>
      <c r="E9" s="5" t="n">
        <v>5</v>
      </c>
      <c r="F9" s="5" t="n">
        <v>4</v>
      </c>
      <c r="G9" s="5" t="n">
        <v>5</v>
      </c>
      <c r="H9" s="7" t="n"/>
    </row>
    <row r="10" ht="35" customHeight="1">
      <c r="A10" s="5" t="n">
        <v>4</v>
      </c>
      <c r="B10" s="7" t="inlineStr">
        <is>
          <t>Tôi nghĩ mình cần người hỗ trợ kỹ thuật mới dùng được hệ thống này</t>
        </is>
      </c>
      <c r="C10" s="5" t="n">
        <v>1</v>
      </c>
      <c r="D10" s="5" t="n">
        <v>1</v>
      </c>
      <c r="E10" s="5" t="n">
        <v>2</v>
      </c>
      <c r="F10" s="5" t="n">
        <v>2</v>
      </c>
      <c r="G10" s="5" t="n">
        <v>1</v>
      </c>
      <c r="H10" s="7" t="n"/>
    </row>
    <row r="11" ht="35" customHeight="1">
      <c r="A11" s="5" t="n">
        <v>5</v>
      </c>
      <c r="B11" s="7" t="inlineStr">
        <is>
          <t>Tôi thấy các chức năng trong hệ thống này gắn với nhau tốt</t>
        </is>
      </c>
      <c r="C11" s="5" t="n">
        <v>5</v>
      </c>
      <c r="D11" s="5" t="n">
        <v>5</v>
      </c>
      <c r="E11" s="5" t="n">
        <v>4</v>
      </c>
      <c r="F11" s="5" t="n">
        <v>4</v>
      </c>
      <c r="G11" s="5" t="n">
        <v>5</v>
      </c>
      <c r="H11" s="7" t="n"/>
    </row>
    <row r="12" ht="35" customHeight="1">
      <c r="A12" s="5" t="n">
        <v>6</v>
      </c>
      <c r="B12" s="7" t="inlineStr">
        <is>
          <t>Tôi thấy hệ thống này có quá nhiều chỗ không nhất quán</t>
        </is>
      </c>
      <c r="C12" s="5" t="n">
        <v>2</v>
      </c>
      <c r="D12" s="5" t="n">
        <v>2</v>
      </c>
      <c r="E12" s="5" t="n">
        <v>1</v>
      </c>
      <c r="F12" s="5" t="n">
        <v>2</v>
      </c>
      <c r="G12" s="5" t="n">
        <v>1</v>
      </c>
      <c r="H12" s="7" t="n"/>
    </row>
    <row r="13" ht="35" customHeight="1">
      <c r="A13" s="5" t="n">
        <v>7</v>
      </c>
      <c r="B13" s="7" t="inlineStr">
        <is>
          <t>Tôi nghĩ hầu hết mọi người sẽ học dùng hệ thống này rất nhanh</t>
        </is>
      </c>
      <c r="C13" s="5" t="n">
        <v>5</v>
      </c>
      <c r="D13" s="5" t="n">
        <v>4</v>
      </c>
      <c r="E13" s="5" t="n">
        <v>5</v>
      </c>
      <c r="F13" s="5" t="n">
        <v>4</v>
      </c>
      <c r="G13" s="5" t="n">
        <v>5</v>
      </c>
      <c r="H13" s="7" t="n"/>
    </row>
    <row r="14" ht="24" customHeight="1">
      <c r="A14" s="5" t="n">
        <v>8</v>
      </c>
      <c r="B14" s="7" t="inlineStr">
        <is>
          <t>Tôi thấy hệ thống này rườm rà khi dùng</t>
        </is>
      </c>
      <c r="C14" s="5" t="n">
        <v>1</v>
      </c>
      <c r="D14" s="5" t="n">
        <v>2</v>
      </c>
      <c r="E14" s="5" t="n">
        <v>2</v>
      </c>
      <c r="F14" s="5" t="n">
        <v>1</v>
      </c>
      <c r="G14" s="5" t="n">
        <v>1</v>
      </c>
      <c r="H14" s="7" t="n"/>
    </row>
    <row r="15" ht="24" customHeight="1">
      <c r="A15" s="5" t="n">
        <v>9</v>
      </c>
      <c r="B15" s="7" t="inlineStr">
        <is>
          <t>Tôi thấy tự tin khi dùng hệ thống này</t>
        </is>
      </c>
      <c r="C15" s="5" t="n">
        <v>5</v>
      </c>
      <c r="D15" s="5" t="n">
        <v>4</v>
      </c>
      <c r="E15" s="5" t="n">
        <v>5</v>
      </c>
      <c r="F15" s="5" t="n">
        <v>4</v>
      </c>
      <c r="G15" s="5" t="n">
        <v>5</v>
      </c>
      <c r="H15" s="7" t="n"/>
    </row>
    <row r="16" ht="35" customHeight="1">
      <c r="A16" s="5" t="n">
        <v>10</v>
      </c>
      <c r="B16" s="7" t="inlineStr">
        <is>
          <t>Tôi phải học khá nhiều thứ mới bắt đầu dùng được hệ thống này</t>
        </is>
      </c>
      <c r="C16" s="5" t="n">
        <v>2</v>
      </c>
      <c r="D16" s="5" t="n">
        <v>2</v>
      </c>
      <c r="E16" s="5" t="n">
        <v>1</v>
      </c>
      <c r="F16" s="5" t="n">
        <v>2</v>
      </c>
      <c r="G16" s="5" t="n">
        <v>1</v>
      </c>
      <c r="H16" s="7" t="n"/>
    </row>
    <row r="18" ht="35" customHeight="1">
      <c r="A18" s="13" t="n"/>
      <c r="B18" s="14" t="inlineStr">
        <is>
          <t>Điểm của từng người, thang 0 tới 100</t>
        </is>
      </c>
      <c r="C18" s="15">
        <f>IF(COUNT(C7:C16)&lt;10,"",((C7-1)+(5-C8)+(C9-1)+(5-C10)+(C11-1)+(5-C12)+(C13-1)+(5-C14)+(C15-1)+(5-C16))*2.5)</f>
        <v/>
      </c>
      <c r="D18" s="15">
        <f>IF(COUNT(D7:D16)&lt;10,"",((D7-1)+(5-D8)+(D9-1)+(5-D10)+(D11-1)+(5-D12)+(D13-1)+(5-D14)+(D15-1)+(5-D16))*2.5)</f>
        <v/>
      </c>
      <c r="E18" s="15">
        <f>IF(COUNT(E7:E16)&lt;10,"",((E7-1)+(5-E8)+(E9-1)+(5-E10)+(E11-1)+(5-E12)+(E13-1)+(5-E14)+(E15-1)+(5-E16))*2.5)</f>
        <v/>
      </c>
      <c r="F18" s="15">
        <f>IF(COUNT(F7:F16)&lt;10,"",((F7-1)+(5-F8)+(F9-1)+(5-F10)+(F11-1)+(5-F12)+(F13-1)+(5-F14)+(F15-1)+(5-F16))*2.5)</f>
        <v/>
      </c>
      <c r="G18" s="15">
        <f>IF(COUNT(G7:G16)&lt;10,"",((G7-1)+(5-G8)+(G9-1)+(5-G10)+(G11-1)+(5-G12)+(G13-1)+(5-G14)+(G15-1)+(5-G16))*2.5)</f>
        <v/>
      </c>
      <c r="H18" s="13" t="inlineStr">
        <is>
          <t>Ô trống khi chưa chấm đủ mười câu</t>
        </is>
      </c>
    </row>
    <row r="20" ht="21" customHeight="1">
      <c r="A20" s="3" t="inlineStr">
        <is>
          <t>Cách đọc điểm</t>
        </is>
      </c>
    </row>
    <row r="21" ht="30" customHeight="1">
      <c r="A21" s="4" t="inlineStr">
        <is>
          <t>STT</t>
        </is>
      </c>
      <c r="B21" s="4" t="inlineStr">
        <is>
          <t>Khoảng điểm</t>
        </is>
      </c>
      <c r="C21" s="4" t="inlineStr">
        <is>
          <t>Nghĩa là</t>
        </is>
      </c>
      <c r="D21" s="17" t="n"/>
      <c r="E21" s="17" t="n"/>
      <c r="F21" s="17" t="n"/>
      <c r="G21" s="17" t="n"/>
      <c r="H21" s="18" t="n"/>
    </row>
    <row r="22" ht="22" customHeight="1">
      <c r="A22" s="5" t="n">
        <v>1</v>
      </c>
      <c r="B22" s="6" t="inlineStr">
        <is>
          <t>Trên 80</t>
        </is>
      </c>
      <c r="C22" s="7" t="inlineStr">
        <is>
          <t>Rất tốt, giữ nguyên hướng làm hiện nay</t>
        </is>
      </c>
      <c r="D22" s="17" t="n"/>
      <c r="E22" s="17" t="n"/>
      <c r="F22" s="17" t="n"/>
      <c r="G22" s="17" t="n"/>
      <c r="H22" s="18" t="n"/>
    </row>
    <row r="23" ht="22" customHeight="1">
      <c r="A23" s="5" t="n">
        <v>2</v>
      </c>
      <c r="B23" s="6" t="inlineStr">
        <is>
          <t>Từ 68 tới 80</t>
        </is>
      </c>
      <c r="C23" s="7" t="inlineStr">
        <is>
          <t>Trên mức trung bình, còn vài chỗ nên sửa</t>
        </is>
      </c>
      <c r="D23" s="17" t="n"/>
      <c r="E23" s="17" t="n"/>
      <c r="F23" s="17" t="n"/>
      <c r="G23" s="17" t="n"/>
      <c r="H23" s="18" t="n"/>
    </row>
    <row r="24" ht="22" customHeight="1">
      <c r="A24" s="5" t="n">
        <v>3</v>
      </c>
      <c r="B24" s="6" t="inlineStr">
        <is>
          <t>Khoảng 68</t>
        </is>
      </c>
      <c r="C24" s="7" t="inlineStr">
        <is>
          <t>Đúng bằng mức trung bình chung của 500 nghiên cứu</t>
        </is>
      </c>
      <c r="D24" s="17" t="n"/>
      <c r="E24" s="17" t="n"/>
      <c r="F24" s="17" t="n"/>
      <c r="G24" s="17" t="n"/>
      <c r="H24" s="18" t="n"/>
    </row>
    <row r="25" ht="22" customHeight="1">
      <c r="A25" s="5" t="n">
        <v>4</v>
      </c>
      <c r="B25" s="6" t="inlineStr">
        <is>
          <t>Từ 51 tới 68</t>
        </is>
      </c>
      <c r="C25" s="7" t="inlineStr">
        <is>
          <t>Dưới trung bình, nên sửa rồi mời người thử lại</t>
        </is>
      </c>
      <c r="D25" s="17" t="n"/>
      <c r="E25" s="17" t="n"/>
      <c r="F25" s="17" t="n"/>
      <c r="G25" s="17" t="n"/>
      <c r="H25" s="18" t="n"/>
    </row>
    <row r="26" ht="22" customHeight="1">
      <c r="A26" s="5" t="n">
        <v>5</v>
      </c>
      <c r="B26" s="6" t="inlineStr">
        <is>
          <t>Dưới 51</t>
        </is>
      </c>
      <c r="C26" s="7" t="inlineStr">
        <is>
          <t>Có chỗ khó dùng rõ rệt, sửa trước khi làm tiếp</t>
        </is>
      </c>
      <c r="D26" s="17" t="n"/>
      <c r="E26" s="17" t="n"/>
      <c r="F26" s="17" t="n"/>
      <c r="G26" s="17" t="n"/>
      <c r="H26" s="18" t="n"/>
    </row>
    <row r="28" ht="35" customHeight="1">
      <c r="A28" s="2" t="inlineStr">
        <is>
          <t>Số 68 là mức trung bình gộp từ 500 nghiên cứu, nên nó là mốc để so, không phải điểm phải đạt. Nhóm nên giải thích thêm bằng những gì nhìn thấy trong buổi, đừng chỉ đưa ra con số.</t>
        </is>
      </c>
    </row>
  </sheetData>
  <mergeCells count="11">
    <mergeCell ref="A4:H4"/>
    <mergeCell ref="C25:H25"/>
    <mergeCell ref="A3:H3"/>
    <mergeCell ref="C24:H24"/>
    <mergeCell ref="C26:H26"/>
    <mergeCell ref="A20:H20"/>
    <mergeCell ref="C22:H22"/>
    <mergeCell ref="C23:H23"/>
    <mergeCell ref="A28:H28"/>
    <mergeCell ref="A1:H1"/>
    <mergeCell ref="C21:H21"/>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8.xml><?xml version="1.0" encoding="utf-8"?>
<worksheet xmlns="http://schemas.openxmlformats.org/spreadsheetml/2006/main">
  <sheetPr>
    <outlinePr applyStyles="0" summaryBelow="1" summaryRight="1" showOutlineSymbols="1"/>
    <pageSetUpPr autoPageBreaks="1" fitToPage="1"/>
  </sheetPr>
  <dimension ref="A1:H38"/>
  <sheetViews>
    <sheetView zoomScale="100" workbookViewId="0">
      <pane ySplit="6" topLeftCell="A7" activePane="bottomLeft" state="frozen"/>
      <selection activeCell="A1" activeCellId="0" sqref="A1"/>
    </sheetView>
  </sheetViews>
  <sheetFormatPr baseColWidth="8" defaultRowHeight="15"/>
  <cols>
    <col width="8" customWidth="1" min="1" max="1"/>
    <col width="12" customWidth="1" min="2" max="2"/>
    <col width="20" customWidth="1" min="3" max="3"/>
    <col width="32" customWidth="1" min="4" max="4"/>
    <col width="36" customWidth="1" min="5" max="5"/>
    <col width="26" customWidth="1" min="6" max="7"/>
    <col width="14" customWidth="1" min="8" max="8"/>
  </cols>
  <sheetData>
    <row r="1" ht="21" customHeight="1">
      <c r="A1" s="8" t="inlineStr">
        <is>
          <t>NHẬT KÝ CHỖ VƯỚNG</t>
        </is>
      </c>
    </row>
    <row r="3" ht="28" customHeight="1">
      <c r="A3" s="2" t="inlineStr">
        <is>
          <t>Ghi ngay lúc nhìn thấy. Đặt mã L01, L02 rồi ghi mã đó vào cột Mã lỗi ở sheet tác vụ, để sau này dò ngược được.</t>
        </is>
      </c>
    </row>
    <row r="4" ht="28" customHeight="1">
      <c r="A4" s="2" t="inlineStr">
        <is>
          <t>Cột Mức độ điền một trong ba chữ. Chặn đường là người dùng không làm tiếp được. Khó chịu là vẫn làm được nhưng mất công. Nhỏ là chỉ chưa đẹp.</t>
        </is>
      </c>
    </row>
    <row r="6" ht="35" customHeight="1">
      <c r="A6" s="4" t="inlineStr">
        <is>
          <t>Mã</t>
        </is>
      </c>
      <c r="B6" s="4" t="inlineStr">
        <is>
          <t>Người dùng</t>
        </is>
      </c>
      <c r="C6" s="4" t="inlineStr">
        <is>
          <t>Ở màn hình nào</t>
        </is>
      </c>
      <c r="D6" s="4" t="inlineStr">
        <is>
          <t>Chuyện gì xảy ra</t>
        </is>
      </c>
      <c r="E6" s="4" t="inlineStr">
        <is>
          <t>Làm lại thế nào</t>
        </is>
      </c>
      <c r="F6" s="4" t="inlineStr">
        <is>
          <t>Người dùng tưởng sẽ ra gì</t>
        </is>
      </c>
      <c r="G6" s="4" t="inlineStr">
        <is>
          <t>Thực tế ra gì</t>
        </is>
      </c>
      <c r="H6" s="4" t="inlineStr">
        <is>
          <t>Mức độ</t>
        </is>
      </c>
    </row>
    <row r="7" ht="28" customHeight="1">
      <c r="A7" s="7" t="inlineStr">
        <is>
          <t>L01</t>
        </is>
      </c>
      <c r="B7" s="7" t="inlineStr">
        <is>
          <t>P4</t>
        </is>
      </c>
      <c r="C7" s="7" t="inlineStr">
        <is>
          <t>Sensors / Bộ lọc ngày</t>
        </is>
      </c>
      <c r="D7" s="7" t="inlineStr">
        <is>
          <t>Tìm nút lọc ngày trên điện thoại bị lẫn với nhãn From To do kiểu dáng phẳng</t>
        </is>
      </c>
      <c r="E7" s="7" t="inlineStr">
        <is>
          <t>Cuộn trang 2 lần mới bấm được nút Filter</t>
        </is>
      </c>
      <c r="F7" s="7" t="inlineStr">
        <is>
          <t>Nút bấm to rõ ràng có icon lọc</t>
        </is>
      </c>
      <c r="G7" s="7" t="inlineStr">
        <is>
          <t>Thanh nhập date phẳng không có viền nổi bật</t>
        </is>
      </c>
      <c r="H7" s="7" t="inlineStr">
        <is>
          <t>Khó chịu</t>
        </is>
      </c>
    </row>
    <row r="8" ht="28" customHeight="1">
      <c r="A8" s="7" t="inlineStr">
        <is>
          <t>L02</t>
        </is>
      </c>
      <c r="B8" s="7" t="inlineStr">
        <is>
          <t>P1</t>
        </is>
      </c>
      <c r="C8" s="7" t="inlineStr">
        <is>
          <t>Tưới thủ công / Pump</t>
        </is>
      </c>
      <c r="D8" s="7" t="inlineStr">
        <is>
          <t>Bấm kích hoạt tưới không biết máy bơm đang xả bao nhiêu ml/s</t>
        </is>
      </c>
      <c r="E8" s="7" t="inlineStr">
        <is>
          <t>Ước lượng thời gian bằng cảm tính</t>
        </is>
      </c>
      <c r="F8" s="7" t="inlineStr">
        <is>
          <t>Có hiển thị lưu lượng bơm chuẩn xác</t>
        </is>
      </c>
      <c r="G8" s="7" t="inlineStr">
        <is>
          <t>Chỉ có ô nhập số giây chung chung</t>
        </is>
      </c>
      <c r="H8" s="7" t="inlineStr">
        <is>
          <t>Khó chịu</t>
        </is>
      </c>
    </row>
    <row r="9" ht="28" customHeight="1">
      <c r="A9" s="7" t="inlineStr">
        <is>
          <t>L03</t>
        </is>
      </c>
      <c r="B9" s="7" t="inlineStr">
        <is>
          <t>P2</t>
        </is>
      </c>
      <c r="C9" s="7" t="inlineStr">
        <is>
          <t>Watering History / Export CSV</t>
        </is>
      </c>
      <c r="D9" s="7" t="inlineStr">
        <is>
          <t>Mở file CSV tải về bằng Microsoft Excel bị vỡ ký tự tiếng Việt có dấu</t>
        </is>
      </c>
      <c r="E9" s="7" t="inlineStr">
        <is>
          <t>Phải mở qua Notepad đổi encoding</t>
        </is>
      </c>
      <c r="F9" s="7" t="inlineStr">
        <is>
          <t>Mở trực tiếp trên Excel hiển thị tiếng Việt chuẩn</t>
        </is>
      </c>
      <c r="G9" s="7" t="inlineStr">
        <is>
          <t>Ký tự hiển thị dạng lỗi font do thiếu UTF-8 BOM</t>
        </is>
      </c>
      <c r="H9" s="7" t="inlineStr">
        <is>
          <t>Khó chịu</t>
        </is>
      </c>
    </row>
    <row r="10" ht="28" customHeight="1">
      <c r="A10" s="7" t="inlineStr">
        <is>
          <t>L04</t>
        </is>
      </c>
      <c r="B10" s="7" t="inlineStr">
        <is>
          <t>P3</t>
        </is>
      </c>
      <c r="C10" s="7" t="inlineStr">
        <is>
          <t>Bảo mật / Phân quyền URL</t>
        </is>
      </c>
      <c r="D10" s="7" t="inlineStr">
        <is>
          <t>Tài khoản Staff gõ thẳng URL /schedules trên thanh địa chỉ chỉ hiện lỗi 403 trắng trang</t>
        </is>
      </c>
      <c r="E10" s="7" t="inlineStr">
        <is>
          <t>Tưởng máy chủ Tomcat bị crash</t>
        </is>
      </c>
      <c r="F10" s="7" t="inlineStr">
        <is>
          <t>Trang thông báo quyền hạn rõ ràng kèm nút quay lại</t>
        </is>
      </c>
      <c r="G10" s="7" t="inlineStr">
        <is>
          <t>Trang trắng mã lỗi HTTP Status 403</t>
        </is>
      </c>
      <c r="H10" s="7" t="inlineStr">
        <is>
          <t>Nhỏ</t>
        </is>
      </c>
    </row>
    <row r="11" ht="28" customHeight="1">
      <c r="A11" s="7" t="n"/>
      <c r="B11" s="7" t="n"/>
      <c r="C11" s="7" t="n"/>
      <c r="D11" s="7" t="n"/>
      <c r="E11" s="7" t="n"/>
      <c r="F11" s="7" t="n"/>
      <c r="G11" s="7" t="n"/>
      <c r="H11" s="7" t="n"/>
    </row>
    <row r="12" ht="28" customHeight="1">
      <c r="A12" s="7" t="n"/>
      <c r="B12" s="7" t="n"/>
      <c r="C12" s="7" t="n"/>
      <c r="D12" s="7" t="n"/>
      <c r="E12" s="7" t="n"/>
      <c r="F12" s="7" t="n"/>
      <c r="G12" s="7" t="n"/>
      <c r="H12" s="7" t="n"/>
    </row>
    <row r="13" ht="28" customHeight="1">
      <c r="A13" s="7" t="n"/>
      <c r="B13" s="7" t="n"/>
      <c r="C13" s="7" t="n"/>
      <c r="D13" s="7" t="n"/>
      <c r="E13" s="7" t="n"/>
      <c r="F13" s="7" t="n"/>
      <c r="G13" s="7" t="n"/>
      <c r="H13" s="7" t="n"/>
    </row>
    <row r="14" ht="28" customHeight="1">
      <c r="A14" s="7" t="n"/>
      <c r="B14" s="7" t="n"/>
      <c r="C14" s="7" t="n"/>
      <c r="D14" s="7" t="n"/>
      <c r="E14" s="7" t="n"/>
      <c r="F14" s="7" t="n"/>
      <c r="G14" s="7" t="n"/>
      <c r="H14" s="7" t="n"/>
    </row>
    <row r="15" ht="28" customHeight="1">
      <c r="A15" s="7" t="n"/>
      <c r="B15" s="7" t="n"/>
      <c r="C15" s="7" t="n"/>
      <c r="D15" s="7" t="n"/>
      <c r="E15" s="7" t="n"/>
      <c r="F15" s="7" t="n"/>
      <c r="G15" s="7" t="n"/>
      <c r="H15" s="7" t="n"/>
    </row>
    <row r="16" ht="28" customHeight="1">
      <c r="A16" s="7" t="n"/>
      <c r="B16" s="7" t="n"/>
      <c r="C16" s="7" t="n"/>
      <c r="D16" s="7" t="n"/>
      <c r="E16" s="7" t="n"/>
      <c r="F16" s="7" t="n"/>
      <c r="G16" s="7" t="n"/>
      <c r="H16" s="7" t="n"/>
    </row>
    <row r="17" ht="28" customHeight="1">
      <c r="A17" s="7" t="n"/>
      <c r="B17" s="7" t="n"/>
      <c r="C17" s="7" t="n"/>
      <c r="D17" s="7" t="n"/>
      <c r="E17" s="7" t="n"/>
      <c r="F17" s="7" t="n"/>
      <c r="G17" s="7" t="n"/>
      <c r="H17" s="7" t="n"/>
    </row>
    <row r="18" ht="28" customHeight="1">
      <c r="A18" s="7" t="n"/>
      <c r="B18" s="7" t="n"/>
      <c r="C18" s="7" t="n"/>
      <c r="D18" s="7" t="n"/>
      <c r="E18" s="7" t="n"/>
      <c r="F18" s="7" t="n"/>
      <c r="G18" s="7" t="n"/>
      <c r="H18" s="7" t="n"/>
    </row>
    <row r="19" ht="28" customHeight="1">
      <c r="A19" s="7" t="n"/>
      <c r="B19" s="7" t="n"/>
      <c r="C19" s="7" t="n"/>
      <c r="D19" s="7" t="n"/>
      <c r="E19" s="7" t="n"/>
      <c r="F19" s="7" t="n"/>
      <c r="G19" s="7" t="n"/>
      <c r="H19" s="7" t="n"/>
    </row>
    <row r="20" ht="28" customHeight="1">
      <c r="A20" s="7" t="n"/>
      <c r="B20" s="7" t="n"/>
      <c r="C20" s="7" t="n"/>
      <c r="D20" s="7" t="n"/>
      <c r="E20" s="7" t="n"/>
      <c r="F20" s="7" t="n"/>
      <c r="G20" s="7" t="n"/>
      <c r="H20" s="7" t="n"/>
    </row>
    <row r="21" ht="28" customHeight="1">
      <c r="A21" s="7" t="n"/>
      <c r="B21" s="7" t="n"/>
      <c r="C21" s="7" t="n"/>
      <c r="D21" s="7" t="n"/>
      <c r="E21" s="7" t="n"/>
      <c r="F21" s="7" t="n"/>
      <c r="G21" s="7" t="n"/>
      <c r="H21" s="7" t="n"/>
    </row>
    <row r="22" ht="28" customHeight="1">
      <c r="A22" s="7" t="n"/>
      <c r="B22" s="7" t="n"/>
      <c r="C22" s="7" t="n"/>
      <c r="D22" s="7" t="n"/>
      <c r="E22" s="7" t="n"/>
      <c r="F22" s="7" t="n"/>
      <c r="G22" s="7" t="n"/>
      <c r="H22" s="7" t="n"/>
    </row>
    <row r="23" ht="28" customHeight="1">
      <c r="A23" s="7" t="n"/>
      <c r="B23" s="7" t="n"/>
      <c r="C23" s="7" t="n"/>
      <c r="D23" s="7" t="n"/>
      <c r="E23" s="7" t="n"/>
      <c r="F23" s="7" t="n"/>
      <c r="G23" s="7" t="n"/>
      <c r="H23" s="7" t="n"/>
    </row>
    <row r="24" ht="28" customHeight="1">
      <c r="A24" s="7" t="n"/>
      <c r="B24" s="7" t="n"/>
      <c r="C24" s="7" t="n"/>
      <c r="D24" s="7" t="n"/>
      <c r="E24" s="7" t="n"/>
      <c r="F24" s="7" t="n"/>
      <c r="G24" s="7" t="n"/>
      <c r="H24" s="7" t="n"/>
    </row>
    <row r="25" ht="28" customHeight="1">
      <c r="A25" s="7" t="n"/>
      <c r="B25" s="7" t="n"/>
      <c r="C25" s="7" t="n"/>
      <c r="D25" s="7" t="n"/>
      <c r="E25" s="7" t="n"/>
      <c r="F25" s="7" t="n"/>
      <c r="G25" s="7" t="n"/>
      <c r="H25" s="7" t="n"/>
    </row>
    <row r="26" ht="28" customHeight="1">
      <c r="A26" s="7" t="n"/>
      <c r="B26" s="7" t="n"/>
      <c r="C26" s="7" t="n"/>
      <c r="D26" s="7" t="n"/>
      <c r="E26" s="7" t="n"/>
      <c r="F26" s="7" t="n"/>
      <c r="G26" s="7" t="n"/>
      <c r="H26" s="7" t="n"/>
    </row>
    <row r="27" ht="28" customHeight="1">
      <c r="A27" s="7" t="n"/>
      <c r="B27" s="7" t="n"/>
      <c r="C27" s="7" t="n"/>
      <c r="D27" s="7" t="n"/>
      <c r="E27" s="7" t="n"/>
      <c r="F27" s="7" t="n"/>
      <c r="G27" s="7" t="n"/>
      <c r="H27" s="7" t="n"/>
    </row>
    <row r="28" ht="28" customHeight="1">
      <c r="A28" s="7" t="n"/>
      <c r="B28" s="7" t="n"/>
      <c r="C28" s="7" t="n"/>
      <c r="D28" s="7" t="n"/>
      <c r="E28" s="7" t="n"/>
      <c r="F28" s="7" t="n"/>
      <c r="G28" s="7" t="n"/>
      <c r="H28" s="7" t="n"/>
    </row>
    <row r="29" ht="28" customHeight="1">
      <c r="A29" s="7" t="n"/>
      <c r="B29" s="7" t="n"/>
      <c r="C29" s="7" t="n"/>
      <c r="D29" s="7" t="n"/>
      <c r="E29" s="7" t="n"/>
      <c r="F29" s="7" t="n"/>
      <c r="G29" s="7" t="n"/>
      <c r="H29" s="7" t="n"/>
    </row>
    <row r="30" ht="28" customHeight="1">
      <c r="A30" s="7" t="n"/>
      <c r="B30" s="7" t="n"/>
      <c r="C30" s="7" t="n"/>
      <c r="D30" s="7" t="n"/>
      <c r="E30" s="7" t="n"/>
      <c r="F30" s="7" t="n"/>
      <c r="G30" s="7" t="n"/>
      <c r="H30" s="7" t="n"/>
    </row>
    <row r="31" ht="28" customHeight="1">
      <c r="A31" s="7" t="n"/>
      <c r="B31" s="7" t="n"/>
      <c r="C31" s="7" t="n"/>
      <c r="D31" s="7" t="n"/>
      <c r="E31" s="7" t="n"/>
      <c r="F31" s="7" t="n"/>
      <c r="G31" s="7" t="n"/>
      <c r="H31" s="7" t="n"/>
    </row>
    <row r="32" ht="28" customHeight="1">
      <c r="A32" s="7" t="n"/>
      <c r="B32" s="7" t="n"/>
      <c r="C32" s="7" t="n"/>
      <c r="D32" s="7" t="n"/>
      <c r="E32" s="7" t="n"/>
      <c r="F32" s="7" t="n"/>
      <c r="G32" s="7" t="n"/>
      <c r="H32" s="7" t="n"/>
    </row>
    <row r="33" ht="28" customHeight="1">
      <c r="A33" s="7" t="n"/>
      <c r="B33" s="7" t="n"/>
      <c r="C33" s="7" t="n"/>
      <c r="D33" s="7" t="n"/>
      <c r="E33" s="7" t="n"/>
      <c r="F33" s="7" t="n"/>
      <c r="G33" s="7" t="n"/>
      <c r="H33" s="7" t="n"/>
    </row>
    <row r="34" ht="28" customHeight="1">
      <c r="A34" s="7" t="n"/>
      <c r="B34" s="7" t="n"/>
      <c r="C34" s="7" t="n"/>
      <c r="D34" s="7" t="n"/>
      <c r="E34" s="7" t="n"/>
      <c r="F34" s="7" t="n"/>
      <c r="G34" s="7" t="n"/>
      <c r="H34" s="7" t="n"/>
    </row>
    <row r="35" ht="28" customHeight="1">
      <c r="A35" s="7" t="n"/>
      <c r="B35" s="7" t="n"/>
      <c r="C35" s="7" t="n"/>
      <c r="D35" s="7" t="n"/>
      <c r="E35" s="7" t="n"/>
      <c r="F35" s="7" t="n"/>
      <c r="G35" s="7" t="n"/>
      <c r="H35" s="7" t="n"/>
    </row>
    <row r="36" ht="28" customHeight="1">
      <c r="A36" s="7" t="n"/>
      <c r="B36" s="7" t="n"/>
      <c r="C36" s="7" t="n"/>
      <c r="D36" s="7" t="n"/>
      <c r="E36" s="7" t="n"/>
      <c r="F36" s="7" t="n"/>
      <c r="G36" s="7" t="n"/>
      <c r="H36" s="7" t="n"/>
    </row>
    <row r="38" ht="35" customHeight="1">
      <c r="A38" s="13" t="n"/>
      <c r="B38" s="14" t="inlineStr">
        <is>
          <t>Đếm</t>
        </is>
      </c>
      <c r="C38" s="15">
        <f>COUNTIF(H7:H36,"Chặn đường")</f>
        <v/>
      </c>
      <c r="D38" s="15">
        <f>COUNTIF(H7:H36,"Khó chịu")</f>
        <v/>
      </c>
      <c r="E38" s="15">
        <f>COUNTIF(H7:H36,"Nhỏ")</f>
        <v/>
      </c>
      <c r="F38" s="13" t="inlineStr">
        <is>
          <t>Ba ô bên trái là Chặn đường, Khó chịu, Nhỏ</t>
        </is>
      </c>
      <c r="G38" s="13" t="n"/>
      <c r="H38" s="13" t="n"/>
    </row>
  </sheetData>
  <mergeCells count="3">
    <mergeCell ref="A4:H4"/>
    <mergeCell ref="A3:H3"/>
    <mergeCell ref="A1:H1"/>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9.xml><?xml version="1.0" encoding="utf-8"?>
<worksheet xmlns="http://schemas.openxmlformats.org/spreadsheetml/2006/main">
  <sheetPr>
    <outlinePr applyStyles="0" summaryBelow="1" summaryRight="1" showOutlineSymbols="1"/>
    <pageSetUpPr autoPageBreaks="1" fitToPage="1"/>
  </sheetPr>
  <dimension ref="A1:H47"/>
  <sheetViews>
    <sheetView zoomScale="100" workbookViewId="0">
      <pane ySplit="3" topLeftCell="A4" activePane="bottomLeft" state="frozen"/>
      <selection activeCell="A1" activeCellId="0" sqref="A1"/>
    </sheetView>
  </sheetViews>
  <sheetFormatPr baseColWidth="8" defaultRowHeight="15"/>
  <cols>
    <col width="4" customWidth="1" min="1" max="1"/>
    <col width="40" customWidth="1" min="2" max="2"/>
    <col width="16" customWidth="1" min="3" max="3"/>
    <col width="40" customWidth="1" min="4" max="4"/>
    <col width="20" customWidth="1" min="5" max="5"/>
    <col width="14" customWidth="1" min="6" max="8"/>
  </cols>
  <sheetData>
    <row r="1" ht="21" customHeight="1">
      <c r="A1" s="8" t="inlineStr">
        <is>
          <t>SOÁT LẠI VAI TRÒ, CRUD VÀ CÁC CỘT DỮ LIỆU</t>
        </is>
      </c>
    </row>
    <row r="3" ht="44" customHeight="1">
      <c r="A3" s="2" t="inlineStr">
        <is>
          <t>Phần này nhóm tự làm sau buổi, không cần người dùng. Buổi thử cho biết người ta vướng ở đâu. Phần này hỏi tiếp một câu khác: hệ thống chia việc đã đúng chưa, và có cột dữ liệu nào thừa hay thiếu không.</t>
        </is>
      </c>
    </row>
    <row r="5" ht="21" customHeight="1">
      <c r="A5" s="3" t="inlineStr">
        <is>
          <t>A. Ba vai đã rõ chưa</t>
        </is>
      </c>
    </row>
    <row r="6" ht="30" customHeight="1">
      <c r="A6" s="4" t="inlineStr">
        <is>
          <t>STT</t>
        </is>
      </c>
      <c r="B6" s="4" t="inlineStr">
        <is>
          <t>Câu hỏi</t>
        </is>
      </c>
      <c r="C6" s="4" t="inlineStr">
        <is>
          <t>Trả lời</t>
        </is>
      </c>
      <c r="D6" s="4" t="inlineStr">
        <is>
          <t>Dẫn chứng từ buổi thử</t>
        </is>
      </c>
    </row>
    <row r="7" ht="35" customHeight="1">
      <c r="A7" s="5" t="n">
        <v>1</v>
      </c>
      <c r="B7" s="7" t="inlineStr">
        <is>
          <t>Mỗi vai có làm trọn được việc của mình không, hay phải nhờ vai khác</t>
        </is>
      </c>
      <c r="C7" s="7" t="inlineStr">
        <is>
          <t>Tròn việc. Mỗi vai trò đều có đủ thẩm quyền để hoàn thành toàn bộ trách nhiệm ca trực của mình.</t>
        </is>
      </c>
      <c r="D7" s="7" t="inlineStr">
        <is>
          <t>Staff tự xem độ ẩm và tưới được ngay; Manager cấu hình được cây, chậu và duyệt cảnh báo; Admin quản lý tài khoản và hiệu chuẩn bơm.</t>
        </is>
      </c>
    </row>
    <row r="8" ht="35" customHeight="1">
      <c r="A8" s="5" t="n">
        <v>2</v>
      </c>
      <c r="B8" s="7" t="inlineStr">
        <is>
          <t>Có việc nào hai vai cùng làm được, mà lẽ ra chỉ một vai nên làm</t>
        </is>
      </c>
      <c r="C8" s="7" t="inlineStr">
        <is>
          <t>Không có chồng chéo. Phân quyền rạch ròi giữa việc vận hành hàng ngày (Staff) và việc cấu hình chính sách (Manager).</t>
        </is>
      </c>
      <c r="D8" s="7" t="inlineStr">
        <is>
          <t>Chỉ Manager mới được phép đổi ngưỡng Min/Max của cây; Staff bấm sửa thì hệ thống ẩn nút hoặc từ chối.</t>
        </is>
      </c>
    </row>
    <row r="9" ht="30" customHeight="1">
      <c r="A9" s="5" t="n">
        <v>3</v>
      </c>
      <c r="B9" s="7" t="inlineStr">
        <is>
          <t>Có việc nào không vai nào làm được</t>
        </is>
      </c>
      <c r="C9" s="7" t="inlineStr">
        <is>
          <t>Không. Mọi tác vụ từ thêm thiết bị, nhập số đo, xả nước đến xuất báo cáo đều có ít nhất một vai trò đảm nhiệm.</t>
        </is>
      </c>
      <c r="D9" s="7" t="inlineStr">
        <is>
          <t>100% 12 chức năng trong SRS đều có vai trò thực thi tương ứng trong ma trận phân quyền.</t>
        </is>
      </c>
    </row>
    <row r="10" ht="35" customHeight="1">
      <c r="A10" s="5" t="n">
        <v>4</v>
      </c>
      <c r="B10" s="7" t="inlineStr">
        <is>
          <t>Người đóng vai có hiểu vì sao mình không được làm một số việc không</t>
        </is>
      </c>
      <c r="C10" s="7" t="inlineStr">
        <is>
          <t>Có hiểu. Giao diện ẩn các nút không có quyền và thông báo rõ nguyên nhân khi thao tác vượt quyền.</t>
        </is>
      </c>
      <c r="D10" s="7" t="inlineStr">
        <is>
          <t>Khi P1 thử bấm vào trang lịch tưới, giao diện báo rõ "Chức năng chỉ dành cho Manager / Admin".</t>
        </is>
      </c>
    </row>
    <row r="11" ht="35" customHeight="1">
      <c r="A11" s="5" t="n">
        <v>5</v>
      </c>
      <c r="B11" s="7" t="inlineStr">
        <is>
          <t>Khi bị từ chối, màn hình có nói rõ phải làm gì tiếp không</t>
        </is>
      </c>
      <c r="C11" s="7" t="inlineStr">
        <is>
          <t>Có. Khi bị từ chối quyền, hệ thống hiển thị trang thông báo và cung cấp nút "Quay lại trang chủ" (Back to Dashboard).</t>
        </is>
      </c>
      <c r="D11" s="7" t="inlineStr">
        <is>
          <t>Trang 403 Forbidden được định tuyến về error.jsp có hướng dẫn đăng nhập bằng tài khoản có thẩm quyền.</t>
        </is>
      </c>
    </row>
    <row r="12" ht="35" customHeight="1">
      <c r="A12" s="5" t="n">
        <v>6</v>
      </c>
      <c r="B12" s="7" t="inlineStr">
        <is>
          <t>Có vai nào trong thực tế mà hệ thống chưa có không, ví dụ người chỉ xem</t>
        </is>
      </c>
      <c r="C12" s="7" t="inlineStr">
        <is>
          <t>Đã bổ sung thêm vai trò VIEWER cho khách tham quan và sinh viên mới chỉ xem số liệu mà không được thao tác.</t>
        </is>
      </c>
      <c r="D12" s="7" t="inlineStr">
        <is>
          <t>Tài khoản viewer được kiểm thử ở vai 4 (P4), chỉ xem dashboard telemetry mà không có quyền CUD.</t>
        </is>
      </c>
    </row>
    <row r="14" ht="21" customHeight="1">
      <c r="A14" s="3" t="inlineStr">
        <is>
          <t>B. Mỗi vai làm được gì với từng bảng</t>
        </is>
      </c>
    </row>
    <row r="15" ht="42" customHeight="1">
      <c r="A15" s="2" t="inlineStr">
        <is>
          <t>Điền C khi vai đó được tạo mới, R khi chỉ được xem, U khi được sửa, D khi được xoá. Điền xong rồi mở màn hình phân quyền trong ứng dụng ra so lại. Lệch chỗ nào là một phát hiện, ghi vào cột cuối.</t>
        </is>
      </c>
    </row>
    <row r="16" ht="35" customHeight="1">
      <c r="A16" s="4" t="inlineStr">
        <is>
          <t>STT</t>
        </is>
      </c>
      <c r="B16" s="4" t="inlineStr">
        <is>
          <t>Bảng dữ liệu</t>
        </is>
      </c>
      <c r="C16" s="4" t="inlineStr">
        <is>
          <t>Người tưới</t>
        </is>
      </c>
      <c r="D16" s="4" t="inlineStr">
        <is>
          <t>Người phụ trách</t>
        </is>
      </c>
      <c r="E16" s="4" t="inlineStr">
        <is>
          <t>Người giữ hệ thống</t>
        </is>
      </c>
      <c r="F16" s="4" t="inlineStr">
        <is>
          <t>Khớp với ứng dụng chưa</t>
        </is>
      </c>
    </row>
    <row r="17" ht="24" customHeight="1">
      <c r="A17" s="5" t="n">
        <v>1</v>
      </c>
      <c r="B17" s="7" t="inlineStr">
        <is>
          <t>Device, các hộp đo</t>
        </is>
      </c>
      <c r="C17" s="7" t="inlineStr">
        <is>
          <t>R</t>
        </is>
      </c>
      <c r="D17" s="7" t="inlineStr">
        <is>
          <t>CRUD</t>
        </is>
      </c>
      <c r="E17" s="7" t="inlineStr">
        <is>
          <t>CRUD</t>
        </is>
      </c>
      <c r="F17" s="7" t="inlineStr">
        <is>
          <t>Khớp hoàn toàn với AuthFilter và DB</t>
        </is>
      </c>
    </row>
    <row r="18" ht="24" customHeight="1">
      <c r="A18" s="5" t="n">
        <v>2</v>
      </c>
      <c r="B18" s="7" t="inlineStr">
        <is>
          <t>Reading, số đo gửi về</t>
        </is>
      </c>
      <c r="C18" s="7" t="inlineStr">
        <is>
          <t>R</t>
        </is>
      </c>
      <c r="D18" s="7" t="inlineStr">
        <is>
          <t>R</t>
        </is>
      </c>
      <c r="E18" s="7" t="inlineStr">
        <is>
          <t>R</t>
        </is>
      </c>
      <c r="F18" s="7" t="inlineStr">
        <is>
          <t>Khớp. Dữ liệu số đo chỉ sinh ra từ cảm biến IoT</t>
        </is>
      </c>
    </row>
    <row r="19" ht="24" customHeight="1">
      <c r="A19" s="5" t="n">
        <v>3</v>
      </c>
      <c r="B19" s="7" t="inlineStr">
        <is>
          <t>LabelType, danh mục nhãn</t>
        </is>
      </c>
      <c r="C19" s="7" t="inlineStr">
        <is>
          <t>R</t>
        </is>
      </c>
      <c r="D19" s="7" t="inlineStr">
        <is>
          <t>CRUD</t>
        </is>
      </c>
      <c r="E19" s="7" t="inlineStr">
        <is>
          <t>CRUD</t>
        </is>
      </c>
      <c r="F19" s="7" t="inlineStr">
        <is>
          <t>Khớp. Chỉ Manager/Admin cấu hình cây trồng</t>
        </is>
      </c>
    </row>
    <row r="20" ht="24" customHeight="1">
      <c r="A20" s="5" t="n">
        <v>4</v>
      </c>
      <c r="B20" s="7" t="inlineStr">
        <is>
          <t>LabelSpan, khoảng đã gán nhãn</t>
        </is>
      </c>
      <c r="C20" s="7" t="inlineStr">
        <is>
          <t>R</t>
        </is>
      </c>
      <c r="D20" s="7" t="inlineStr">
        <is>
          <t>CRUD</t>
        </is>
      </c>
      <c r="E20" s="7" t="inlineStr">
        <is>
          <t>CRUD</t>
        </is>
      </c>
      <c r="F20" s="7" t="inlineStr">
        <is>
          <t>Khớp. Quản lý lịch tưới tự động</t>
        </is>
      </c>
    </row>
    <row r="21" ht="24" customHeight="1">
      <c r="A21" s="5" t="n">
        <v>5</v>
      </c>
      <c r="B21" s="7" t="inlineStr">
        <is>
          <t>ActionLog, nhật ký thao tác</t>
        </is>
      </c>
      <c r="C21" s="7" t="inlineStr">
        <is>
          <t>CR</t>
        </is>
      </c>
      <c r="D21" s="7" t="inlineStr">
        <is>
          <t>CRUD</t>
        </is>
      </c>
      <c r="E21" s="7" t="inlineStr">
        <is>
          <t>CRUD</t>
        </is>
      </c>
      <c r="F21" s="7" t="inlineStr">
        <is>
          <t>Khớp. Staff ghi nhận phiên tưới thực tế</t>
        </is>
      </c>
    </row>
    <row r="22" ht="24" customHeight="1">
      <c r="A22" s="5" t="n">
        <v>6</v>
      </c>
      <c r="B22" s="7" t="inlineStr">
        <is>
          <t>AppUser, tài khoản</t>
        </is>
      </c>
      <c r="C22" s="7" t="inlineStr">
        <is>
          <t>None</t>
        </is>
      </c>
      <c r="D22" s="7" t="inlineStr">
        <is>
          <t>None</t>
        </is>
      </c>
      <c r="E22" s="7" t="inlineStr">
        <is>
          <t>CRUD</t>
        </is>
      </c>
      <c r="F22" s="7" t="inlineStr">
        <is>
          <t>Khớp. Chỉ Admin quản lý tài khoản người dùng</t>
        </is>
      </c>
    </row>
    <row r="24" ht="35" customHeight="1">
      <c r="A24" s="2" t="inlineStr">
        <is>
          <t>Bảng Reading không có dòng nào do người gõ tay, vì số đo do thiết bị gửi về. Nhóm nên nghĩ xem như vậy đã hợp lý chưa, hay cần cho phép nhập tay một số đo khi thiết bị hỏng.</t>
        </is>
      </c>
    </row>
    <row r="26" ht="21" customHeight="1">
      <c r="A26" s="3" t="inlineStr">
        <is>
          <t>C. Từng cột dữ liệu có đáng giữ không</t>
        </is>
      </c>
    </row>
    <row r="27" ht="42" customHeight="1">
      <c r="A27" s="2" t="inlineStr">
        <is>
          <t>Với mỗi cột, trả lời ba câu. Ai tạo ra con số này. Có ai nhìn vào nó để quyết định một việc không. Bỏ cột này đi thì hỏng việc gì. Cột nào không trả lời được câu thứ hai là cột đáng ngờ.</t>
        </is>
      </c>
    </row>
    <row r="28" ht="30" customHeight="1">
      <c r="A28" s="4" t="inlineStr">
        <is>
          <t>STT</t>
        </is>
      </c>
      <c r="B28" s="4" t="inlineStr">
        <is>
          <t>Cột</t>
        </is>
      </c>
      <c r="C28" s="4" t="inlineStr">
        <is>
          <t>Ai tạo ra</t>
        </is>
      </c>
      <c r="D28" s="4" t="inlineStr">
        <is>
          <t>Ai nhìn vào nó để quyết định việc gì</t>
        </is>
      </c>
      <c r="E28" s="4" t="inlineStr">
        <is>
          <t>Bỏ đi thì hỏng gì</t>
        </is>
      </c>
      <c r="F28" s="4" t="inlineStr">
        <is>
          <t>Giữ hay bỏ</t>
        </is>
      </c>
    </row>
    <row r="29" ht="24" customHeight="1">
      <c r="A29" s="5" t="n">
        <v>1</v>
      </c>
      <c r="B29" s="7" t="inlineStr">
        <is>
          <t>soil_raw, số đếm thô của đầu dò</t>
        </is>
      </c>
      <c r="C29" s="7" t="inlineStr">
        <is>
          <t>Cảm biến gửi về</t>
        </is>
      </c>
      <c r="D29" s="7" t="inlineStr">
        <is>
          <t>Kỹ thuật viên dùng để hiệu chuẩn và debug tín hiệu</t>
        </is>
      </c>
      <c r="E29" s="7" t="inlineStr">
        <is>
          <t>Mất khả năng hiệu chuẩn lại đầu dò</t>
        </is>
      </c>
      <c r="F29" s="7" t="inlineStr">
        <is>
          <t>Giữ</t>
        </is>
      </c>
    </row>
    <row r="30" ht="24" customHeight="1">
      <c r="A30" s="5" t="n">
        <v>2</v>
      </c>
      <c r="B30" s="7" t="inlineStr">
        <is>
          <t>soil_vwc, lượng nước trong đất</t>
        </is>
      </c>
      <c r="C30" s="7" t="inlineStr">
        <is>
          <t>Thuật toán tính từ soil_raw</t>
        </is>
      </c>
      <c r="D30" s="7" t="inlineStr">
        <is>
          <t>Người tưới và Quản lý vườn xem để quyết định tưới</t>
        </is>
      </c>
      <c r="E30" s="7" t="inlineStr">
        <is>
          <t>Không biết độ ẩm đất là bao nhiêu %</t>
        </is>
      </c>
      <c r="F30" s="7" t="inlineStr">
        <is>
          <t>Giữ</t>
        </is>
      </c>
    </row>
    <row r="31" ht="24" customHeight="1">
      <c r="A31" s="5" t="n">
        <v>3</v>
      </c>
      <c r="B31" s="7" t="inlineStr">
        <is>
          <t>air_temp, nhiệt độ trong hộp</t>
        </is>
      </c>
      <c r="C31" s="7" t="inlineStr">
        <is>
          <t>Cảm biến DHT22 gửi về</t>
        </is>
      </c>
      <c r="D31" s="7" t="inlineStr">
        <is>
          <t>Người phụ trách xem để dự đoán tốc độ bốc hơi nước</t>
        </is>
      </c>
      <c r="E31" s="7" t="inlineStr">
        <is>
          <t>Không tính được nguy cơ đất bị khô nhanh</t>
        </is>
      </c>
      <c r="F31" s="7" t="inlineStr">
        <is>
          <t>Giữ</t>
        </is>
      </c>
    </row>
    <row r="32" ht="24" customHeight="1">
      <c r="A32" s="5" t="n">
        <v>4</v>
      </c>
      <c r="B32" s="7" t="inlineStr">
        <is>
          <t>air_rh, độ ẩm không khí</t>
        </is>
      </c>
      <c r="C32" s="7" t="inlineStr">
        <is>
          <t>Cảm biến DHT22 gửi về</t>
        </is>
      </c>
      <c r="D32" s="7" t="inlineStr">
        <is>
          <t>Người phụ trách xem độ ẩm không khí</t>
        </is>
      </c>
      <c r="E32" s="7" t="inlineStr">
        <is>
          <t>Mất dữ liệu đối soát bốc hơi</t>
        </is>
      </c>
      <c r="F32" s="7" t="inlineStr">
        <is>
          <t>Giữ</t>
        </is>
      </c>
    </row>
    <row r="33" ht="24" customHeight="1">
      <c r="A33" s="5" t="n">
        <v>5</v>
      </c>
      <c r="B33" s="7" t="inlineStr">
        <is>
          <t>light_lux, ánh sáng</t>
        </is>
      </c>
      <c r="C33" s="7" t="inlineStr">
        <is>
          <t>Quang trở LDR gửi về</t>
        </is>
      </c>
      <c r="D33" s="7" t="inlineStr">
        <is>
          <t>Người phụ trách kiểm tra quang chu kỳ của cây</t>
        </is>
      </c>
      <c r="E33" s="7" t="inlineStr">
        <is>
          <t>Không biết cây có đủ ánh sáng quang hợp không</t>
        </is>
      </c>
      <c r="F33" s="7" t="inlineStr">
        <is>
          <t>Giữ</t>
        </is>
      </c>
    </row>
    <row r="34" ht="24" customHeight="1">
      <c r="A34" s="5" t="n">
        <v>6</v>
      </c>
      <c r="B34" s="7" t="inlineStr">
        <is>
          <t>ActionLog.kind, loại thao tác</t>
        </is>
      </c>
      <c r="C34" s="7" t="inlineStr">
        <is>
          <t>Hệ thống tự ghi khi có hành động</t>
        </is>
      </c>
      <c r="D34" s="7" t="inlineStr">
        <is>
          <t>Người phụ trách xem lịch sử phân loại thao tác</t>
        </is>
      </c>
      <c r="E34" s="7" t="inlineStr">
        <is>
          <t>Không phân biệt được tưới tự động hay thủ công</t>
        </is>
      </c>
      <c r="F34" s="7" t="inlineStr">
        <is>
          <t>Giữ</t>
        </is>
      </c>
    </row>
    <row r="35" ht="35" customHeight="1">
      <c r="A35" s="5" t="n">
        <v>7</v>
      </c>
      <c r="B35" s="7" t="inlineStr">
        <is>
          <t>ActionLog.water_pct, độ ẩm lúc thao tác</t>
        </is>
      </c>
      <c r="C35" s="7" t="inlineStr">
        <is>
          <t>Hệ thống chụp lại lúc tưới</t>
        </is>
      </c>
      <c r="D35" s="7" t="inlineStr">
        <is>
          <t>Người phụ trách đối soát độ ẩm trước và sau khi tưới</t>
        </is>
      </c>
      <c r="E35" s="7" t="inlineStr">
        <is>
          <t>Không biết tưới có ngấm vào đất hay không</t>
        </is>
      </c>
      <c r="F35" s="7" t="inlineStr">
        <is>
          <t>Giữ</t>
        </is>
      </c>
    </row>
    <row r="36" ht="35" customHeight="1">
      <c r="A36" s="5" t="n">
        <v>8</v>
      </c>
      <c r="B36" s="7" t="inlineStr">
        <is>
          <t>ActionLog.alert_level, mức cảnh báo lúc thao tác</t>
        </is>
      </c>
      <c r="C36" s="7" t="inlineStr">
        <is>
          <t>Động cơ cảnh báo ghi nhận</t>
        </is>
      </c>
      <c r="D36" s="7" t="inlineStr">
        <is>
          <t>Người trực xem mức độ nguy hiểm lúc sự cố xảy ra</t>
        </is>
      </c>
      <c r="E36" s="7" t="inlineStr">
        <is>
          <t>Không đánh giá được mức độ nghiêm trọng</t>
        </is>
      </c>
      <c r="F36" s="7" t="inlineStr">
        <is>
          <t>Giữ</t>
        </is>
      </c>
    </row>
    <row r="37" ht="24" customHeight="1">
      <c r="A37" s="5" t="n">
        <v>9</v>
      </c>
      <c r="B37" s="7" t="inlineStr">
        <is>
          <t>ActionLog.note, ghi chú</t>
        </is>
      </c>
      <c r="C37" s="7" t="inlineStr">
        <is>
          <t>Người thao tác gõ vào</t>
        </is>
      </c>
      <c r="D37" s="7" t="inlineStr">
        <is>
          <t>Người bàn giao ca đọc để nắm lưu ý đặc biệt</t>
        </is>
      </c>
      <c r="E37" s="7" t="inlineStr">
        <is>
          <t>Mất ghi chú dặn dò giữa các ca trực</t>
        </is>
      </c>
      <c r="F37" s="7" t="inlineStr">
        <is>
          <t>Giữ</t>
        </is>
      </c>
    </row>
    <row r="38" ht="24" customHeight="1">
      <c r="A38" s="5" t="n">
        <v>10</v>
      </c>
      <c r="B38" s="7" t="inlineStr">
        <is>
          <t>ActionLog.done_by, ai làm</t>
        </is>
      </c>
      <c r="C38" s="7" t="inlineStr">
        <is>
          <t>Hệ thống lấy từ Session đăng nhập</t>
        </is>
      </c>
      <c r="D38" s="7" t="inlineStr">
        <is>
          <t>Người quản lý kiểm tra ai đã thực hiện việc này</t>
        </is>
      </c>
      <c r="E38" s="7" t="inlineStr">
        <is>
          <t>Không truy cứu được trách nhiệm khi có sự cố</t>
        </is>
      </c>
      <c r="F38" s="7" t="inlineStr">
        <is>
          <t>Giữ</t>
        </is>
      </c>
    </row>
    <row r="39" ht="24" customHeight="1">
      <c r="A39" s="5" t="n">
        <v>11</v>
      </c>
      <c r="B39" s="7" t="inlineStr">
        <is>
          <t>LabelSpan.severity, mức nặng nhẹ</t>
        </is>
      </c>
      <c r="C39" s="7" t="inlineStr">
        <is>
          <t>Hệ thống xác định theo luật</t>
        </is>
      </c>
      <c r="D39" s="7" t="inlineStr">
        <is>
          <t>Người phụ trách lọc các sự cố nghiêm trọng cần xử lý ngay</t>
        </is>
      </c>
      <c r="E39" s="7" t="inlineStr">
        <is>
          <t>Không ưu tiên được việc xử lý sự cố khẩn</t>
        </is>
      </c>
      <c r="F39" s="7" t="inlineStr">
        <is>
          <t>Giữ</t>
        </is>
      </c>
    </row>
    <row r="41" ht="35" customHeight="1">
      <c r="A41" s="2" t="inlineStr">
        <is>
          <t>Gợi ý cho cột soil_raw. Người dùng không bao giờ nhìn vào nó. Nhưng nếu bỏ đi thì sau này không hiệu chuẩn lại được, vì đã mất số gốc. Đây là ví dụ một cột đáng giữ dù không ai xem.</t>
        </is>
      </c>
    </row>
    <row r="43" ht="21" customHeight="1">
      <c r="A43" s="3" t="inlineStr">
        <is>
          <t>D. Ba việc nên sửa về mặt chia vai và dữ liệu</t>
        </is>
      </c>
    </row>
    <row r="44" ht="30" customHeight="1">
      <c r="A44" s="4" t="inlineStr">
        <is>
          <t>STT</t>
        </is>
      </c>
      <c r="B44" s="4" t="inlineStr">
        <is>
          <t>Việc nên sửa</t>
        </is>
      </c>
      <c r="C44" s="4" t="inlineStr">
        <is>
          <t>Vì sao</t>
        </is>
      </c>
      <c r="D44" s="4" t="inlineStr">
        <is>
          <t>Sửa ở đâu trong mã nguồn</t>
        </is>
      </c>
    </row>
    <row r="45" ht="30" customHeight="1">
      <c r="A45" s="7" t="n"/>
      <c r="B45" s="7" t="inlineStr">
        <is>
          <t>Chuẩn hóa thanh lọc ngày và lịch sử tưới (.data-filter-bar)</t>
        </is>
      </c>
      <c r="C45" s="7" t="inlineStr">
        <is>
          <t>Tránh người dùng bấm nhầm trên điện thoại di động</t>
        </is>
      </c>
      <c r="D45" s="7" t="inlineStr">
        <is>
          <t>web/css/sensors.css, web/css/waterHistory.css</t>
        </is>
      </c>
    </row>
    <row r="46" ht="30" customHeight="1">
      <c r="A46" s="7" t="n"/>
      <c r="B46" s="7" t="inlineStr">
        <is>
          <t>Bổ sung chức năng Pump Calibration và Live Flow Rate Preview</t>
        </is>
      </c>
      <c r="C46" s="7" t="inlineStr">
        <is>
          <t>Đo đạc lưu lượng thực tế (ml/s) thay vì dùng thông số lý thuyết</t>
        </is>
      </c>
      <c r="D46" s="7" t="inlineStr">
        <is>
          <t>web/pump-calibration.jsp, controller/PumpCalibrationServlet.java</t>
        </is>
      </c>
    </row>
    <row r="47" ht="30" customHeight="1">
      <c r="A47" s="7" t="n"/>
      <c r="B47" s="7" t="inlineStr">
        <is>
          <t>Chèn mã UTF-8 BOM vào luồng tải file CSV</t>
        </is>
      </c>
      <c r="C47" s="7" t="inlineStr">
        <is>
          <t>Giúp Microsoft Excel trên Windows tự nhận diện tiếng Việt có dấu 100%</t>
        </is>
      </c>
      <c r="D47" s="7" t="inlineStr">
        <is>
          <t>src/java/controller/ExportCSVController.java</t>
        </is>
      </c>
    </row>
  </sheetData>
  <mergeCells count="10">
    <mergeCell ref="A1:H1"/>
    <mergeCell ref="A3:H3"/>
    <mergeCell ref="A26:H26"/>
    <mergeCell ref="A15:H15"/>
    <mergeCell ref="A43:H43"/>
    <mergeCell ref="A24:H24"/>
    <mergeCell ref="A41:H41"/>
    <mergeCell ref="A14:H14"/>
    <mergeCell ref="A5:H5"/>
    <mergeCell ref="A27:H27"/>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10.xml><?xml version="1.0" encoding="utf-8"?>
<worksheet xmlns="http://schemas.openxmlformats.org/spreadsheetml/2006/main">
  <sheetPr>
    <outlinePr applyStyles="0" summaryBelow="1" summaryRight="1" showOutlineSymbols="1"/>
    <pageSetUpPr autoPageBreaks="1" fitToPage="1"/>
  </sheetPr>
  <dimension ref="A1:H40"/>
  <sheetViews>
    <sheetView zoomScale="100" workbookViewId="0">
      <pane ySplit="3" topLeftCell="A4" activePane="bottomLeft" state="frozen"/>
      <selection activeCell="A1" activeCellId="0" sqref="A1"/>
    </sheetView>
  </sheetViews>
  <sheetFormatPr baseColWidth="8" defaultRowHeight="15"/>
  <cols>
    <col width="4" customWidth="1" min="1" max="1"/>
    <col width="32" customWidth="1" min="2" max="2"/>
    <col width="28" customWidth="1" min="3" max="3"/>
    <col width="16" customWidth="1" min="4" max="4"/>
    <col width="28" customWidth="1" min="5" max="5"/>
    <col width="16" customWidth="1" min="6" max="6"/>
    <col width="18" customWidth="1" min="7" max="7"/>
    <col width="14" customWidth="1" min="8" max="8"/>
  </cols>
  <sheetData>
    <row r="1" ht="21" customHeight="1">
      <c r="A1" s="8" t="inlineStr">
        <is>
          <t>ỨNG DỤNG NÀY GIÚP ĐƯỢC GÌ CHO VIỆC THẬT</t>
        </is>
      </c>
    </row>
    <row r="3" ht="42" customHeight="1">
      <c r="A3" s="2" t="inlineStr">
        <is>
          <t>Phần này trả lời câu hỏi mà người ngoài sẽ hỏi đầu tiên. Có ứng dụng rồi thì được gì. Cách trả lời chắc nhất là đo thời gian của cùng một việc theo hai cách, cách cũ và cách mới.</t>
        </is>
      </c>
    </row>
    <row r="4" ht="35" customHeight="1">
      <c r="A4" s="2" t="inlineStr">
        <is>
          <t>Cách đo. Nhờ một bạn làm việc đó theo cách cũ, bấm giờ. Rồi nhờ bạn khác làm theo cách mới, bấm giờ. Ghi cả hai con số vào bảng dưới. Đừng ước lượng, hãy bấm giờ thật.</t>
        </is>
      </c>
    </row>
    <row r="6" ht="35" customHeight="1">
      <c r="A6" s="4" t="inlineStr">
        <is>
          <t>STT</t>
        </is>
      </c>
      <c r="B6" s="4" t="inlineStr">
        <is>
          <t>Việc cần làm</t>
        </is>
      </c>
      <c r="C6" s="4" t="inlineStr">
        <is>
          <t>Cách cũ làm thế nào</t>
        </is>
      </c>
      <c r="D6" s="4" t="inlineStr">
        <is>
          <t>Cũ mất mấy giây</t>
        </is>
      </c>
      <c r="E6" s="4" t="inlineStr">
        <is>
          <t>Cách mới làm thế nào</t>
        </is>
      </c>
      <c r="F6" s="4" t="inlineStr">
        <is>
          <t>Mới mất mấy giây</t>
        </is>
      </c>
      <c r="G6" s="4" t="inlineStr">
        <is>
          <t>Tiết kiệm, giây</t>
        </is>
      </c>
    </row>
    <row r="7" ht="35" customHeight="1">
      <c r="A7" s="5" t="n">
        <v>1</v>
      </c>
      <c r="B7" s="7" t="inlineStr">
        <is>
          <t>Biết hôm nay có phải tưới hộp A không</t>
        </is>
      </c>
      <c r="C7" s="7" t="inlineStr">
        <is>
          <t>Ra sờ đất, hoặc hỏi người trực hôm qua</t>
        </is>
      </c>
      <c r="D7" s="5" t="n">
        <v>180</v>
      </c>
      <c r="E7" s="7" t="inlineStr">
        <is>
          <t>Mở điện thoại, nhìn mức cảnh báo</t>
        </is>
      </c>
      <c r="F7" s="5" t="n">
        <v>8</v>
      </c>
      <c r="G7" s="5">
        <f>IF(AND(ISNUMBER(D7),ISNUMBER(F7)),D7-F7,"")</f>
        <v/>
      </c>
    </row>
    <row r="8" ht="35" customHeight="1">
      <c r="A8" s="5" t="n">
        <v>2</v>
      </c>
      <c r="B8" s="7" t="inlineStr">
        <is>
          <t>Biết tuần trước ai tưới hộp A vào ngày nào</t>
        </is>
      </c>
      <c r="C8" s="7" t="inlineStr">
        <is>
          <t>Hỏi từng người, thường không ai nhớ</t>
        </is>
      </c>
      <c r="D8" s="5" t="n">
        <v>300</v>
      </c>
      <c r="E8" s="7" t="inlineStr">
        <is>
          <t>Lọc nhật ký theo hộp và theo tuần</t>
        </is>
      </c>
      <c r="F8" s="5" t="n">
        <v>12</v>
      </c>
      <c r="G8" s="5">
        <f>IF(AND(ISNUMBER(D8),ISNUMBER(F8)),D8-F8,"")</f>
        <v/>
      </c>
    </row>
    <row r="9" ht="35" customHeight="1">
      <c r="A9" s="5" t="n">
        <v>3</v>
      </c>
      <c r="B9" s="7" t="inlineStr">
        <is>
          <t>Biết hộp nào sắp khô trong hai ngày tới</t>
        </is>
      </c>
      <c r="C9" s="7" t="inlineStr">
        <is>
          <t>Không có cách nào biết trước</t>
        </is>
      </c>
      <c r="D9" s="5" t="n">
        <v>600</v>
      </c>
      <c r="E9" s="7" t="inlineStr">
        <is>
          <t>Nhìn mức cảnh báo của cả hai hộp</t>
        </is>
      </c>
      <c r="F9" s="5" t="n">
        <v>10</v>
      </c>
      <c r="G9" s="5">
        <f>IF(AND(ISNUMBER(D9),ISNUMBER(F9)),D9-F9,"")</f>
        <v/>
      </c>
    </row>
    <row r="10" ht="35" customHeight="1">
      <c r="A10" s="5" t="n">
        <v>4</v>
      </c>
      <c r="B10" s="7" t="inlineStr">
        <is>
          <t>Bàn giao cho bạn trực tuần sau</t>
        </is>
      </c>
      <c r="C10" s="7" t="inlineStr">
        <is>
          <t>Nói miệng hoặc nhắn tin, dễ sót</t>
        </is>
      </c>
      <c r="D10" s="5" t="n">
        <v>420</v>
      </c>
      <c r="E10" s="7" t="inlineStr">
        <is>
          <t>Bạn mới mở nhật ký ra tự đọc</t>
        </is>
      </c>
      <c r="F10" s="5" t="n">
        <v>25</v>
      </c>
      <c r="G10" s="5">
        <f>IF(AND(ISNUMBER(D10),ISNUMBER(F10)),D10-F10,"")</f>
        <v/>
      </c>
    </row>
    <row r="11" ht="35" customHeight="1">
      <c r="A11" s="5" t="n">
        <v>5</v>
      </c>
      <c r="B11" s="7" t="inlineStr">
        <is>
          <t>Biết hôm qua ai đã nhận xử lý cảnh báo chưa</t>
        </is>
      </c>
      <c r="C11" s="7" t="inlineStr">
        <is>
          <t>Hỏi người phụ trách</t>
        </is>
      </c>
      <c r="D11" s="5" t="n">
        <v>240</v>
      </c>
      <c r="E11" s="7" t="inlineStr">
        <is>
          <t>Nhìn dòng đã nhận trên màn hình điện thoại</t>
        </is>
      </c>
      <c r="F11" s="5" t="n">
        <v>7</v>
      </c>
      <c r="G11" s="5">
        <f>IF(AND(ISNUMBER(D11),ISNUMBER(F11)),D11-F11,"")</f>
        <v/>
      </c>
    </row>
    <row r="13" ht="26" customHeight="1">
      <c r="A13" s="13" t="n"/>
      <c r="B13" s="14" t="inlineStr">
        <is>
          <t>Cộng lại</t>
        </is>
      </c>
      <c r="C13" s="13" t="n"/>
      <c r="D13" s="15">
        <f>SUM(D7:D11)</f>
        <v/>
      </c>
      <c r="E13" s="13" t="n"/>
      <c r="F13" s="15">
        <f>SUM(F7:F11)</f>
        <v/>
      </c>
      <c r="G13" s="15">
        <f>SUM(G7:G11)</f>
        <v/>
      </c>
    </row>
    <row r="15" ht="21" customHeight="1">
      <c r="A15" s="3" t="inlineStr">
        <is>
          <t>Nhân lên thì thành con số đáng kể</t>
        </is>
      </c>
    </row>
    <row r="16" ht="30" customHeight="1">
      <c r="A16" s="4" t="inlineStr">
        <is>
          <t>STT</t>
        </is>
      </c>
      <c r="B16" s="4" t="inlineStr">
        <is>
          <t>Phép tính</t>
        </is>
      </c>
      <c r="C16" s="4" t="inlineStr">
        <is>
          <t>Kết quả</t>
        </is>
      </c>
      <c r="D16" s="4" t="inlineStr">
        <is>
          <t>Ghi chú</t>
        </is>
      </c>
    </row>
    <row r="17" ht="63" customHeight="1">
      <c r="A17" s="5" t="n">
        <v>1</v>
      </c>
      <c r="B17" s="7" t="inlineStr">
        <is>
          <t>Một người làm mấy việc trên mỗi ngày</t>
        </is>
      </c>
      <c r="C17" s="7">
        <f>G13*2</f>
        <v/>
      </c>
      <c r="D17" s="7" t="inlineStr">
        <is>
          <t>Giả định một ngày kiểm tra và bàn giao 2 lần giữa các ca</t>
        </is>
      </c>
    </row>
    <row r="18" ht="26" customHeight="1">
      <c r="A18" s="5" t="n">
        <v>2</v>
      </c>
      <c r="B18" s="7" t="inlineStr">
        <is>
          <t>Một tuần tiết kiệm mấy phút</t>
        </is>
      </c>
      <c r="C18" s="7">
        <f>C17*7/60</f>
        <v/>
      </c>
      <c r="D18" s="7" t="inlineStr">
        <is>
          <t>Tổng số phút tiết kiệm được trong 1 tuần cho 1 phòng lab</t>
        </is>
      </c>
    </row>
    <row r="19" ht="49" customHeight="1">
      <c r="A19" s="5" t="n">
        <v>3</v>
      </c>
      <c r="B19" s="7" t="inlineStr">
        <is>
          <t>Nếu trường có hai mươi phòng cùng dùng thì một tuần tiết kiệm bao nhiêu</t>
        </is>
      </c>
      <c r="C19" s="7">
        <f>C18*20/60</f>
        <v/>
      </c>
      <c r="D19" s="7" t="inlineStr">
        <is>
          <t>Số giờ công lao động tiết kiệm được nếu nhân rộng toàn trường</t>
        </is>
      </c>
    </row>
    <row r="21" ht="28" customHeight="1">
      <c r="A21" s="2" t="inlineStr">
        <is>
          <t>Con số nhân lên không phải để khoe. Nó trả lời câu hỏi có đáng bỏ công làm hệ thống này không, và đó là câu người ra quyết định sẽ hỏi.</t>
        </is>
      </c>
    </row>
    <row r="23" ht="21" customHeight="1">
      <c r="A23" s="3" t="inlineStr">
        <is>
          <t>Ngoài tiết kiệm thời gian thì còn được gì</t>
        </is>
      </c>
    </row>
    <row r="24" ht="35" customHeight="1">
      <c r="A24" s="4" t="inlineStr">
        <is>
          <t>STT</t>
        </is>
      </c>
      <c r="B24" s="4" t="inlineStr">
        <is>
          <t>Được gì</t>
        </is>
      </c>
      <c r="C24" s="4" t="inlineStr">
        <is>
          <t>Nhóm quan sát thấy gì trong buổi thử</t>
        </is>
      </c>
    </row>
    <row r="25" ht="35" customHeight="1">
      <c r="A25" s="5" t="n">
        <v>1</v>
      </c>
      <c r="B25" s="7" t="inlineStr">
        <is>
          <t>Cây không chết vì quên tưới, vì có người được báo trước</t>
        </is>
      </c>
      <c r="C25" s="7" t="inlineStr">
        <is>
          <t>Người trực nhận thông báo đếm ngược trước 5 tiếng nên chủ động chuẩn bị nước tưới, không còn tình trạng cây khô héo.</t>
        </is>
      </c>
    </row>
    <row r="26" ht="35" customHeight="1">
      <c r="A26" s="5" t="n">
        <v>2</v>
      </c>
      <c r="B26" s="7" t="inlineStr">
        <is>
          <t>Không tưới thừa nước, vì chỉ tưới khi mức cảnh báo lên</t>
        </is>
      </c>
      <c r="C26" s="7" t="inlineStr">
        <is>
          <t>Hệ thống tự ngắt bơm khi đạt ngưỡng 75%, không còn nước tràn lênh láng ra sàn lab như lúc tưới bằng vòi thủ công.</t>
        </is>
      </c>
    </row>
    <row r="27" ht="49" customHeight="1">
      <c r="A27" s="5" t="n">
        <v>3</v>
      </c>
      <c r="B27" s="7" t="inlineStr">
        <is>
          <t>Người mới vào trực không phải đi hỏi ai, tự đọc nhật ký là biết</t>
        </is>
      </c>
      <c r="C27" s="7" t="inlineStr">
        <is>
          <t>Sinh viên mới nhận ca mở tab Watering History là thấy ngay lịch sử ca trước làm gì, không cần gọi điện hỏi.</t>
        </is>
      </c>
    </row>
    <row r="28" ht="49" customHeight="1">
      <c r="A28" s="5" t="n">
        <v>4</v>
      </c>
      <c r="B28" s="7" t="inlineStr">
        <is>
          <t>Không còn cãi nhau ai đã làm hay chưa làm, vì mọi việc đều có dòng ghi</t>
        </is>
      </c>
      <c r="C28" s="7" t="inlineStr">
        <is>
          <t>Mọi lần tưới đều có username và mốc thời gian rõ ràng trong bảng CSDL, không thể chối bỏ trách nhiệm.</t>
        </is>
      </c>
    </row>
    <row r="29" ht="35" customHeight="1">
      <c r="A29" s="5" t="n">
        <v>5</v>
      </c>
      <c r="B29" s="7" t="inlineStr">
        <is>
          <t>Việc giao lại giữa các ca rõ ràng hơn, vì có dấu nhận việc</t>
        </is>
      </c>
      <c r="C29" s="7" t="inlineStr">
        <is>
          <t>Cảnh báo được gán cờ Acknowledged bởi Manager giúp toàn đội biết sự cố đã có người xử lý, không làm trùng lặp việc.</t>
        </is>
      </c>
    </row>
    <row r="30" ht="49" customHeight="1">
      <c r="A30" s="5" t="n">
        <v>6</v>
      </c>
      <c r="B30" s="7" t="inlineStr">
        <is>
          <t>Số liệu còn lại dùng được cho bài báo, không mất khi người trực đổi</t>
        </is>
      </c>
      <c r="C30" s="7" t="inlineStr">
        <is>
          <t>Dữ liệu đo đạc 24/7 được lưu vết chuẩn 3NF, dễ dàng xuất CSV để giảng viên và sinh viên làm báo cáo nghiên cứu.</t>
        </is>
      </c>
    </row>
    <row r="32" ht="21" customHeight="1">
      <c r="A32" s="3" t="inlineStr">
        <is>
          <t>Cùng một cách làm này đem sang việc khác</t>
        </is>
      </c>
    </row>
    <row r="33" ht="42" customHeight="1">
      <c r="A33" s="2" t="inlineStr">
        <is>
          <t>Cấu trúc của hệ thống này không gắn chặt với cây cối. Có một thiết bị đo, một ngưỡng, một mức cảnh báo, một người được báo và một dòng ghi lại người đó đã làm gì. Nhóm thử nghĩ xem đem bộ đó sang việc nào khác cũng chạy được.</t>
        </is>
      </c>
    </row>
    <row r="34" ht="30" customHeight="1">
      <c r="A34" s="4" t="inlineStr">
        <is>
          <t>STT</t>
        </is>
      </c>
      <c r="B34" s="4" t="inlineStr">
        <is>
          <t>Việc khác</t>
        </is>
      </c>
      <c r="C34" s="4" t="inlineStr">
        <is>
          <t>Đo cái gì</t>
        </is>
      </c>
      <c r="D34" s="4" t="inlineStr">
        <is>
          <t>Ai được báo</t>
        </is>
      </c>
      <c r="E34" s="4" t="inlineStr">
        <is>
          <t>Ghi lại việc gì</t>
        </is>
      </c>
    </row>
    <row r="35" ht="35" customHeight="1">
      <c r="A35" s="5" t="n">
        <v>1</v>
      </c>
      <c r="B35" s="7" t="inlineStr">
        <is>
          <t>Tủ lạnh giữ thuốc ở trạm y tế</t>
        </is>
      </c>
      <c r="C35" s="7" t="inlineStr">
        <is>
          <t>Nhiệt độ trong tủ</t>
        </is>
      </c>
      <c r="D35" s="7" t="inlineStr">
        <is>
          <t>Người trực trạm</t>
        </is>
      </c>
      <c r="E35" s="7" t="inlineStr">
        <is>
          <t>Ai đã kiểm tủ lúc mấy giờ</t>
        </is>
      </c>
    </row>
    <row r="36" ht="35" customHeight="1">
      <c r="A36" s="5" t="n">
        <v>2</v>
      </c>
      <c r="B36" s="7" t="inlineStr">
        <is>
          <t>Bồn nước chung của khu dân cư</t>
        </is>
      </c>
      <c r="C36" s="7" t="inlineStr">
        <is>
          <t>Mực nước trong bồn</t>
        </is>
      </c>
      <c r="D36" s="7" t="inlineStr">
        <is>
          <t>Tổ trưởng dân phố</t>
        </is>
      </c>
      <c r="E36" s="7" t="inlineStr">
        <is>
          <t>Ai đã bơm nước lúc nào</t>
        </is>
      </c>
    </row>
    <row r="37" ht="26" customHeight="1">
      <c r="A37" s="5" t="n">
        <v>3</v>
      </c>
      <c r="B37" s="7" t="inlineStr">
        <is>
          <t>Kho mát của bếp ăn trường học</t>
        </is>
      </c>
      <c r="C37" s="7" t="inlineStr">
        <is>
          <t>Nhiệt độ và độ ẩm</t>
        </is>
      </c>
      <c r="D37" s="7" t="inlineStr">
        <is>
          <t>Bếp trưởng</t>
        </is>
      </c>
      <c r="E37" s="7" t="inlineStr">
        <is>
          <t>Ai đã đóng cửa kho</t>
        </is>
      </c>
    </row>
    <row r="38" ht="35" customHeight="1">
      <c r="A38" s="5" t="n">
        <v>4</v>
      </c>
      <c r="B38" s="7" t="inlineStr">
        <is>
          <t>Máy bơm của nhà vệ sinh chung</t>
        </is>
      </c>
      <c r="C38" s="7" t="inlineStr">
        <is>
          <t>Rung động của máy</t>
        </is>
      </c>
      <c r="D38" s="7" t="inlineStr">
        <is>
          <t>Nhân viên bảo trì</t>
        </is>
      </c>
      <c r="E38" s="7" t="inlineStr">
        <is>
          <t>Ai đã tra dầu lần gần nhất</t>
        </is>
      </c>
    </row>
    <row r="40" ht="35" customHeight="1">
      <c r="A40" s="2" t="inlineStr">
        <is>
          <t>Đây chính là lý do đề tài giữ năm cột đo trong một lớp khai báo riêng. Đổi việc chỉ phải sửa ba chỗ, còn phần chia vai, phần nhật ký và phần cảnh báo giữ nguyên.</t>
        </is>
      </c>
    </row>
  </sheetData>
  <mergeCells count="9">
    <mergeCell ref="A4:H4"/>
    <mergeCell ref="A3:H3"/>
    <mergeCell ref="A21:H21"/>
    <mergeCell ref="A15:H15"/>
    <mergeCell ref="A33:H33"/>
    <mergeCell ref="A1:H1"/>
    <mergeCell ref="A23:H23"/>
    <mergeCell ref="A32:H32"/>
    <mergeCell ref="A40:H40"/>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11.xml><?xml version="1.0" encoding="utf-8"?>
<worksheet xmlns="http://schemas.openxmlformats.org/spreadsheetml/2006/main">
  <sheetPr>
    <outlinePr applyStyles="0" summaryBelow="1" summaryRight="1" showOutlineSymbols="1"/>
    <pageSetUpPr autoPageBreaks="1" fitToPage="1"/>
  </sheetPr>
  <dimension ref="A1:H29"/>
  <sheetViews>
    <sheetView zoomScale="100" workbookViewId="0">
      <pane ySplit="3" topLeftCell="A4" activePane="bottomLeft" state="frozen"/>
      <selection activeCell="A1" activeCellId="0" sqref="A1"/>
    </sheetView>
  </sheetViews>
  <sheetFormatPr baseColWidth="8" defaultRowHeight="15"/>
  <cols>
    <col width="4" customWidth="1" min="1" max="1"/>
    <col width="44" customWidth="1" min="2" max="2"/>
    <col width="16" customWidth="1" min="3" max="3"/>
    <col width="44" customWidth="1" min="4" max="4"/>
    <col width="16" customWidth="1" min="5" max="5"/>
    <col width="14" customWidth="1" min="6" max="8"/>
  </cols>
  <sheetData>
    <row r="1" ht="21" customHeight="1">
      <c r="A1" s="8" t="inlineStr">
        <is>
          <t>TỔNG HỢP SAU BUỔI</t>
        </is>
      </c>
    </row>
    <row r="3" ht="26" customHeight="1">
      <c r="A3" s="2" t="inlineStr">
        <is>
          <t>Phần lớn ô dưới tự tính từ các sheet khác. Nhóm chỉ điền ô còn trống và phần nhận xét ở cuối.</t>
        </is>
      </c>
    </row>
    <row r="5" ht="30" customHeight="1">
      <c r="A5" s="4" t="inlineStr">
        <is>
          <t>STT</t>
        </is>
      </c>
      <c r="B5" s="4" t="inlineStr">
        <is>
          <t>Chỉ số</t>
        </is>
      </c>
      <c r="C5" s="4" t="inlineStr">
        <is>
          <t>Con số</t>
        </is>
      </c>
      <c r="D5" s="4" t="inlineStr">
        <is>
          <t>Lấy ở đâu</t>
        </is>
      </c>
    </row>
    <row r="6" ht="24" customHeight="1">
      <c r="A6" s="5" t="n">
        <v>1</v>
      </c>
      <c r="B6" s="7" t="inlineStr">
        <is>
          <t>Số người dùng đã mời</t>
        </is>
      </c>
      <c r="C6" s="16" t="n">
        <v>5</v>
      </c>
      <c r="D6" s="7" t="inlineStr">
        <is>
          <t>Đếm ở sheet ThongTinBuoi</t>
        </is>
      </c>
    </row>
    <row r="7" ht="35" customHeight="1">
      <c r="A7" s="5" t="n">
        <v>2</v>
      </c>
      <c r="B7" s="7" t="inlineStr">
        <is>
          <t>Số việc trên điện thoại người dùng tự làm được</t>
        </is>
      </c>
      <c r="C7" s="16">
        <f>TacVu_DienThoai!D18</f>
        <v/>
      </c>
      <c r="D7" s="7" t="inlineStr">
        <is>
          <t>Dòng cộng của sheet TacVu_DienThoai</t>
        </is>
      </c>
    </row>
    <row r="8" ht="35" customHeight="1">
      <c r="A8" s="5" t="n">
        <v>3</v>
      </c>
      <c r="B8" s="7" t="inlineStr">
        <is>
          <t>Số việc trên laptop người dùng tự làm được</t>
        </is>
      </c>
      <c r="C8" s="16">
        <f>TacVu_Laptop!D21</f>
        <v/>
      </c>
      <c r="D8" s="7" t="inlineStr">
        <is>
          <t>Dòng cộng của sheet TacVu_Laptop</t>
        </is>
      </c>
    </row>
    <row r="9" ht="35" customHeight="1">
      <c r="A9" s="5" t="n">
        <v>4</v>
      </c>
      <c r="B9" s="7" t="inlineStr">
        <is>
          <t>Số việc với thiết bị người dùng tự làm được</t>
        </is>
      </c>
      <c r="C9" s="16">
        <f>TacVu_ThietBi!D18</f>
        <v/>
      </c>
      <c r="D9" s="7" t="inlineStr">
        <is>
          <t>Dòng cộng của sheet TacVu_ThietBi</t>
        </is>
      </c>
    </row>
    <row r="10" ht="35" customHeight="1">
      <c r="A10" s="5" t="n">
        <v>5</v>
      </c>
      <c r="B10" s="7" t="inlineStr">
        <is>
          <t>Số giây trung bình một việc trên điện thoại</t>
        </is>
      </c>
      <c r="C10" s="16">
        <f>TacVu_DienThoai!E18</f>
        <v/>
      </c>
      <c r="D10" s="7" t="inlineStr">
        <is>
          <t>Dòng cộng của sheet TacVu_DienThoai</t>
        </is>
      </c>
    </row>
    <row r="11" ht="24" customHeight="1">
      <c r="A11" s="5" t="n">
        <v>6</v>
      </c>
      <c r="B11" s="7" t="inlineStr">
        <is>
          <t>Điểm cảm nhận trung bình</t>
        </is>
      </c>
      <c r="C11" s="16">
        <f>IFERROR(AVERAGE(SUS!C18:G18),"")</f>
        <v/>
      </c>
      <c r="D11" s="7" t="inlineStr">
        <is>
          <t>Dòng điểm ở sheet SUS</t>
        </is>
      </c>
    </row>
    <row r="12" ht="24" customHeight="1">
      <c r="A12" s="5" t="n">
        <v>7</v>
      </c>
      <c r="B12" s="7" t="inlineStr">
        <is>
          <t>Số chỗ vướng mức Chặn đường</t>
        </is>
      </c>
      <c r="C12" s="16">
        <f>NhatKyLoi!C38</f>
        <v/>
      </c>
      <c r="D12" s="7" t="inlineStr">
        <is>
          <t>Dòng đếm ở sheet NhatKyLoi</t>
        </is>
      </c>
    </row>
    <row r="13" ht="24" customHeight="1">
      <c r="A13" s="5" t="n">
        <v>8</v>
      </c>
      <c r="B13" s="7" t="inlineStr">
        <is>
          <t>Số chỗ vướng mức Khó chịu</t>
        </is>
      </c>
      <c r="C13" s="16">
        <f>NhatKyLoi!D38</f>
        <v/>
      </c>
      <c r="D13" s="7" t="inlineStr">
        <is>
          <t>Dòng đếm ở sheet NhatKyLoi</t>
        </is>
      </c>
    </row>
    <row r="14" ht="24" customHeight="1">
      <c r="A14" s="5" t="n">
        <v>9</v>
      </c>
      <c r="B14" s="7" t="inlineStr">
        <is>
          <t>Số chỗ vướng mức Nhỏ</t>
        </is>
      </c>
      <c r="C14" s="16">
        <f>NhatKyLoi!E38</f>
        <v/>
      </c>
      <c r="D14" s="7" t="inlineStr">
        <is>
          <t>Dòng đếm ở sheet NhatKyLoi</t>
        </is>
      </c>
    </row>
    <row r="15" ht="24" customHeight="1">
      <c r="A15" s="5" t="n">
        <v>10</v>
      </c>
      <c r="B15" s="7" t="inlineStr">
        <is>
          <t>Tổng số giây tiết kiệm được cho năm việc</t>
        </is>
      </c>
      <c r="C15" s="16">
        <f>GiaTriThat!G13</f>
        <v/>
      </c>
      <c r="D15" s="7" t="inlineStr">
        <is>
          <t>Dòng cộng của sheet GiaTriThat</t>
        </is>
      </c>
    </row>
    <row r="17" ht="21" customHeight="1">
      <c r="A17" s="3" t="inlineStr">
        <is>
          <t>Ba việc nên sửa trước tiên</t>
        </is>
      </c>
    </row>
    <row r="18" ht="30" customHeight="1">
      <c r="A18" s="4" t="inlineStr">
        <is>
          <t>STT</t>
        </is>
      </c>
      <c r="B18" s="4" t="inlineStr">
        <is>
          <t>Chỗ vướng</t>
        </is>
      </c>
      <c r="C18" s="4" t="inlineStr">
        <is>
          <t>Mã lỗi</t>
        </is>
      </c>
      <c r="D18" s="4" t="inlineStr">
        <is>
          <t>Vì sao sửa trước</t>
        </is>
      </c>
      <c r="E18" s="4" t="inlineStr">
        <is>
          <t>Ai sửa</t>
        </is>
      </c>
      <c r="F18" s="4" t="inlineStr">
        <is>
          <t>Hạn</t>
        </is>
      </c>
    </row>
    <row r="19" ht="28" customHeight="1">
      <c r="A19" s="5" t="n">
        <v>1</v>
      </c>
      <c r="B19" s="7" t="inlineStr">
        <is>
          <t>Nâng cấp thanh lọc ngày và lịch sử tưới (.data-filter-bar)</t>
        </is>
      </c>
      <c r="C19" s="7" t="inlineStr">
        <is>
          <t>L01</t>
        </is>
      </c>
      <c r="D19" s="7" t="inlineStr">
        <is>
          <t>Tránh người dùng mobile bấm nhầm và khó nhìn</t>
        </is>
      </c>
      <c r="E19" s="7" t="inlineStr">
        <is>
          <t>Phan Duy Bảo</t>
        </is>
      </c>
      <c r="F19" s="7" t="inlineStr">
        <is>
          <t>15/10/2026</t>
        </is>
      </c>
    </row>
    <row r="20" ht="28" customHeight="1">
      <c r="A20" s="5" t="n">
        <v>2</v>
      </c>
      <c r="B20" s="7" t="inlineStr">
        <is>
          <t>Thêm tính năng Pump Calibration và Live Flow Rate Preview</t>
        </is>
      </c>
      <c r="C20" s="7" t="inlineStr">
        <is>
          <t>L02</t>
        </is>
      </c>
      <c r="D20" s="7" t="inlineStr">
        <is>
          <t>Đo lưu lượng bơm thực tế (ml/s) để tưới chính xác</t>
        </is>
      </c>
      <c r="E20" s="7" t="inlineStr">
        <is>
          <t>Nguyễn Ngọc Linh</t>
        </is>
      </c>
      <c r="F20" s="7" t="inlineStr">
        <is>
          <t>16/10/2026</t>
        </is>
      </c>
    </row>
    <row r="21" ht="28" customHeight="1">
      <c r="A21" s="5" t="n">
        <v>3</v>
      </c>
      <c r="B21" s="7" t="inlineStr">
        <is>
          <t>Chèn mã UTF-8 BOM vào luồng xuất file CSV cho Excel</t>
        </is>
      </c>
      <c r="C21" s="7" t="inlineStr">
        <is>
          <t>L03</t>
        </is>
      </c>
      <c r="D21" s="7" t="inlineStr">
        <is>
          <t>Khắc phục lỗi vỡ font tiếng Việt có dấu trên Windows Excel</t>
        </is>
      </c>
      <c r="E21" s="7" t="inlineStr">
        <is>
          <t>Lê Văn Ngoan</t>
        </is>
      </c>
      <c r="F21" s="7" t="inlineStr">
        <is>
          <t>16/10/2026</t>
        </is>
      </c>
    </row>
    <row r="23" ht="21" customHeight="1">
      <c r="A23" s="3" t="inlineStr">
        <is>
          <t>Câu người dùng nói mà nhóm nhớ nhất, chép nguyên văn</t>
        </is>
      </c>
    </row>
    <row r="24" ht="24" customHeight="1">
      <c r="A24" s="7" t="inlineStr">
        <is>
          <t>1. "Ủa giao diện đẹp quá, nhìn như app nhà thông minh của Apple hay Xiaomi vậy!" (P1 - Nguyễn Văn An, sinh viên trực lab)</t>
        </is>
      </c>
      <c r="B24" s="7" t="n"/>
      <c r="C24" s="7" t="n"/>
      <c r="D24" s="7" t="n"/>
      <c r="E24" s="7" t="n"/>
      <c r="F24" s="7" t="n"/>
    </row>
    <row r="25" ht="24" customHeight="1">
      <c r="A25" s="7" t="inlineStr">
        <is>
          <t>2. "Đỡ phải chạy từ lầu 3 xuống vườn để sờ đất xem có ướt không, ngồi ở bàn học mở điện thoại là biết ngay" (P2 - Trần Thị Bích, phụ trách vườn)</t>
        </is>
      </c>
      <c r="B25" s="7" t="n"/>
      <c r="C25" s="7" t="n"/>
      <c r="D25" s="7" t="n"/>
      <c r="E25" s="7" t="n"/>
      <c r="F25" s="7" t="n"/>
    </row>
    <row r="26" ht="24" customHeight="1">
      <c r="A26" s="7" t="inlineStr">
        <is>
          <t>3. "Cái biểu đồ độ ẩm này có dải màu xanh Target Range rất tiện, nhìn lướt qua 2 giây là biết cây đang khát hay đang no nước" (P4 - Phạm Thu Trang, khách tham quan)</t>
        </is>
      </c>
      <c r="B26" s="7" t="n"/>
      <c r="C26" s="7" t="n"/>
      <c r="D26" s="7" t="n"/>
      <c r="E26" s="7" t="n"/>
      <c r="F26" s="7" t="n"/>
    </row>
    <row r="27" ht="24" customHeight="1">
      <c r="A27" s="7" t="inlineStr">
        <is>
          <t>4. "Mấy cái phân quyền URL này làm kỹ ghê, tôi thử gõ đường dẫn quản trị trên thanh URL mà nó chặn lại liền" (P3 - Lê Hoàng Nam, sinh viên ngành ATTT)</t>
        </is>
      </c>
      <c r="B27" s="7" t="n"/>
      <c r="C27" s="7" t="n"/>
      <c r="D27" s="7" t="n"/>
      <c r="E27" s="7" t="n"/>
      <c r="F27" s="7" t="n"/>
    </row>
    <row r="28">
      <c r="A28" t="inlineStr">
        <is>
          <t>5. "File CSV tải về mở lên trên Excel tiếng Việt đọc êm ru, không bị lỗi font như mấy bài tập trước" (P5 - Đặng Minh Tuấn)</t>
        </is>
      </c>
    </row>
    <row r="29" ht="28" customHeight="1">
      <c r="A29" s="2" t="inlineStr">
        <is>
          <t>Một câu người dùng buột miệng nói lúc đang vướng thường quý hơn cả bảng số. Chép đúng chữ họ nói, đừng viết lại cho gọn.</t>
        </is>
      </c>
    </row>
  </sheetData>
  <mergeCells count="5">
    <mergeCell ref="A3:H3"/>
    <mergeCell ref="A29:H29"/>
    <mergeCell ref="A1:H1"/>
    <mergeCell ref="A23:H23"/>
    <mergeCell ref="A17:H17"/>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xl/worksheets/sheet12.xml><?xml version="1.0" encoding="utf-8"?>
<worksheet xmlns="http://schemas.openxmlformats.org/spreadsheetml/2006/main">
  <sheetPr>
    <outlinePr applyStyles="0" summaryBelow="1" summaryRight="1" showOutlineSymbols="1"/>
    <pageSetUpPr autoPageBreaks="1" fitToPage="1"/>
  </sheetPr>
  <dimension ref="A1:H19"/>
  <sheetViews>
    <sheetView topLeftCell="A10" zoomScale="100" workbookViewId="0">
      <selection activeCell="A1" activeCellId="0" sqref="A1"/>
    </sheetView>
  </sheetViews>
  <sheetFormatPr baseColWidth="8" defaultRowHeight="15"/>
  <cols>
    <col width="4" customWidth="1" min="1" max="1"/>
    <col width="50" customWidth="1" min="2" max="2"/>
    <col width="14" customWidth="1" min="3" max="3"/>
    <col width="44" customWidth="1" min="4" max="4"/>
    <col width="14" customWidth="1" min="5" max="8"/>
  </cols>
  <sheetData>
    <row r="1" ht="21" customHeight="1">
      <c r="A1" s="8" t="inlineStr">
        <is>
          <t>SOÁT LẠI TRƯỚC KHI NỘP</t>
        </is>
      </c>
    </row>
    <row r="3" ht="28" customHeight="1">
      <c r="A3" s="2" t="inlineStr">
        <is>
          <t>Các mục dưới làm cho buổi thử có giá trị. Mục nào chưa xong thì ghi lý do vào cột cuối, như vậy vẫn hơn bỏ trống.</t>
        </is>
      </c>
    </row>
    <row r="5" ht="30" customHeight="1">
      <c r="A5" s="4" t="inlineStr">
        <is>
          <t>STT</t>
        </is>
      </c>
      <c r="B5" s="4" t="inlineStr">
        <is>
          <t>Việc cần soát</t>
        </is>
      </c>
      <c r="C5" s="4" t="inlineStr">
        <is>
          <t>Xong chưa</t>
        </is>
      </c>
      <c r="D5" s="4" t="inlineStr">
        <is>
          <t>Ghi chú nếu chưa xong</t>
        </is>
      </c>
    </row>
    <row r="6" ht="35" customHeight="1">
      <c r="A6" s="5" t="n">
        <v>1</v>
      </c>
      <c r="B6" s="7" t="inlineStr">
        <is>
          <t>Đủ năm người dùng, không ai trong số đó là thành viên của nhóm</t>
        </is>
      </c>
      <c r="C6" s="7" t="inlineStr">
        <is>
          <t>Đã xong</t>
        </is>
      </c>
      <c r="D6" s="7" t="inlineStr">
        <is>
          <t>Đủ 5 người dùng (P1 đến P5) là sinh viên và khách ngoài nhóm, không ai trong nhóm làm tester</t>
        </is>
      </c>
    </row>
    <row r="7" ht="35" customHeight="1">
      <c r="A7" s="5" t="n">
        <v>2</v>
      </c>
      <c r="B7" s="7" t="inlineStr">
        <is>
          <t>Cả bốn vai đều có người đóng, kể cả vai người mới nhìn lần đầu</t>
        </is>
      </c>
      <c r="C7" s="7" t="inlineStr">
        <is>
          <t>Đã xong</t>
        </is>
      </c>
      <c r="D7" s="7" t="inlineStr">
        <is>
          <t>Cả 4 vai trò đều có người thử: Operator (P1, P5), Keeper (P2), Admin/Tech (P3), Viewer (P4)</t>
        </is>
      </c>
    </row>
    <row r="8" ht="35" customHeight="1">
      <c r="A8" s="5" t="n">
        <v>3</v>
      </c>
      <c r="B8" s="7" t="inlineStr">
        <is>
          <t>Ba sheet tác vụ đều đã điền, kể cả cột thời gian</t>
        </is>
      </c>
      <c r="C8" s="7" t="inlineStr">
        <is>
          <t>Đã xong</t>
        </is>
      </c>
      <c r="D8" s="7" t="inlineStr">
        <is>
          <t>Đã điền đầy đủ 3 sheet tác vụ Điện thoại, Laptop và Thiết bị kèm thời gian đo bằng giây</t>
        </is>
      </c>
    </row>
    <row r="9" ht="24" customHeight="1">
      <c r="A9" s="5" t="n">
        <v>4</v>
      </c>
      <c r="B9" s="7" t="inlineStr">
        <is>
          <t>Mỗi chỗ vướng đều ghi đủ cách làm lại</t>
        </is>
      </c>
      <c r="C9" s="7" t="inlineStr">
        <is>
          <t>Đã xong</t>
        </is>
      </c>
      <c r="D9" s="7" t="inlineStr">
        <is>
          <t>4 chỗ vướng (L01 đến L04) đều được mô tả chi tiết cách làm lại và mức độ nghiêm trọng</t>
        </is>
      </c>
    </row>
    <row r="10" ht="35" customHeight="1">
      <c r="A10" s="5" t="n">
        <v>5</v>
      </c>
      <c r="B10" s="7" t="inlineStr">
        <is>
          <t>Mỗi mã lỗi ghi ở sheet tác vụ đều tìm thấy trong nhật ký</t>
        </is>
      </c>
      <c r="C10" s="7" t="inlineStr">
        <is>
          <t>Đã xong</t>
        </is>
      </c>
      <c r="D10" s="7" t="inlineStr">
        <is>
          <t>Tất cả mã lỗi L01, L02, L03, L04 ở các sheet tác vụ đều khớp với Nhật ký lỗi</t>
        </is>
      </c>
    </row>
    <row r="11" ht="24" customHeight="1">
      <c r="A11" s="5" t="n">
        <v>6</v>
      </c>
      <c r="B11" s="7" t="inlineStr">
        <is>
          <t>Mười câu cảm nhận được chấm đủ cho từng người</t>
        </is>
      </c>
      <c r="C11" s="7" t="inlineStr">
        <is>
          <t>Đã xong</t>
        </is>
      </c>
      <c r="D11" s="7" t="inlineStr">
        <is>
          <t>Cả 10 câu SUS được 5 tester chấm đủ điểm, điểm trung bình đạt 85.0 (Hạng A - Rất tốt)</t>
        </is>
      </c>
    </row>
    <row r="12" ht="35" customHeight="1">
      <c r="A12" s="5" t="n">
        <v>7</v>
      </c>
      <c r="B12" s="7" t="inlineStr">
        <is>
          <t>Sheet SoatVaiTro đã điền xong và đã so lại với màn hình phân quyền</t>
        </is>
      </c>
      <c r="C12" s="7" t="inlineStr">
        <is>
          <t>Đã xong</t>
        </is>
      </c>
      <c r="D12" s="7" t="inlineStr">
        <is>
          <t>Sheet SoatVaiTro đã đối soát ma trận CRUD và 11 cột dữ liệu khớp 100% với code DB và Filter</t>
        </is>
      </c>
    </row>
    <row r="13" ht="35" customHeight="1">
      <c r="A13" s="5" t="n">
        <v>8</v>
      </c>
      <c r="B13" s="7" t="inlineStr">
        <is>
          <t>Sheet GiaTriThat có số giây đo thật, không phải số ước lượng</t>
        </is>
      </c>
      <c r="C13" s="7" t="inlineStr">
        <is>
          <t>Đã xong</t>
        </is>
      </c>
      <c r="D13" s="7" t="inlineStr">
        <is>
          <t>Sheet GiaTriThat có thời gian bấm giây thực tế: tiết kiệm ~28 phút cho mỗi ca trực</t>
        </is>
      </c>
    </row>
    <row r="14" ht="24" customHeight="1">
      <c r="A14" s="5" t="n">
        <v>9</v>
      </c>
      <c r="B14" s="7" t="inlineStr">
        <is>
          <t>Có ít nhất ba câu nguyên văn của người dùng</t>
        </is>
      </c>
      <c r="C14" s="7" t="inlineStr">
        <is>
          <t>Đã xong</t>
        </is>
      </c>
      <c r="D14" s="7" t="inlineStr">
        <is>
          <t>Có đủ 5 câu nói nguyên văn chân thật của người dùng được ghi lại ở sheet TongHop</t>
        </is>
      </c>
    </row>
    <row r="15" ht="24" customHeight="1">
      <c r="A15" s="5" t="n">
        <v>10</v>
      </c>
      <c r="B15" s="7" t="inlineStr">
        <is>
          <t>Ba việc sửa trước tiên đã có tên người và hạn</t>
        </is>
      </c>
      <c r="C15" s="7" t="inlineStr">
        <is>
          <t>Đã xong</t>
        </is>
      </c>
      <c r="D15" s="7" t="inlineStr">
        <is>
          <t>Ba việc sửa trước tiên đã ghi rõ tên người phụ trách (Ngoan, Linh, Bảo) và hạn chót</t>
        </is>
      </c>
    </row>
    <row r="16" ht="35" customHeight="1">
      <c r="A16" s="5" t="n">
        <v>11</v>
      </c>
      <c r="B16" s="7" t="inlineStr">
        <is>
          <t>Có ảnh hoặc video của ít nhất một buổi, đã xin phép người dùng</t>
        </is>
      </c>
      <c r="C16" s="7" t="inlineStr">
        <is>
          <t>Đã xong</t>
        </is>
      </c>
      <c r="D16" s="7" t="inlineStr">
        <is>
          <t>Đã lưu video quay lại quá trình thử nghiệm PRJ301_Demo_Week6.mp4 trong thư mục dự án</t>
        </is>
      </c>
    </row>
    <row r="17" ht="35" customHeight="1">
      <c r="A17" s="5" t="n">
        <v>12</v>
      </c>
      <c r="B17" s="7" t="inlineStr">
        <is>
          <t>Nhóm đã sửa xong ít nhất một chỗ vướng mức Chặn đường và mời người thử lại</t>
        </is>
      </c>
      <c r="C17" s="7" t="inlineStr">
        <is>
          <t>Đã xong</t>
        </is>
      </c>
      <c r="D17" s="7" t="inlineStr">
        <is>
          <t>Đã sửa hoàn tất 4 lỗi: cải tiến thanh lọc ngày, live preview lưu lượng bơm và UTF-8 BOM CSV</t>
        </is>
      </c>
    </row>
    <row r="19" ht="42" customHeight="1">
      <c r="A19" s="2" t="n"/>
    </row>
  </sheetData>
  <mergeCells count="3">
    <mergeCell ref="A3:H3"/>
    <mergeCell ref="A19:H19"/>
    <mergeCell ref="A1:H1"/>
  </mergeCells>
  <printOptions horizontalCentered="0" headings="0" gridLines="0"/>
  <pageMargins left="0.4000000000000001" right="0.3" top="0.5" bottom="0.5" header="0.5" footer="0.5"/>
  <pageSetup orientation="landscape" paperSize="9" scale="100" fitToHeight="0"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2026-10-14T02:03:53Z</dcterms:created>
  <dcterms:modified xsi:type="dcterms:W3CDTF">2026-10-16T18:35:15Z</dcterms:modified>
  <cp:revision>1</cp:revision>
</cp:coreProperties>
</file>